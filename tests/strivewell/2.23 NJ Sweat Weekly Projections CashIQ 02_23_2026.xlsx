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Shared drives\Valisights\ValiSights\Clients\Strivewell\NJ Sweat\CashIQ Working Docs\2-23-2026\"/>
    </mc:Choice>
  </mc:AlternateContent>
  <xr:revisionPtr revIDLastSave="0" documentId="13_ncr:1_{BB9172FC-7AED-43E4-9A12-F2AB537150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3 Week Cash 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Knz6W9gBfaEm1rHL5pD7vbC5CMo6gBL2E2qbhC2lVY="/>
    </ext>
  </extLst>
</workbook>
</file>

<file path=xl/calcChain.xml><?xml version="1.0" encoding="utf-8"?>
<calcChain xmlns="http://schemas.openxmlformats.org/spreadsheetml/2006/main">
  <c r="F15" i="1" l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E15" i="1"/>
  <c r="H39" i="1"/>
  <c r="I34" i="1"/>
  <c r="H34" i="1"/>
  <c r="G34" i="1"/>
  <c r="F34" i="1"/>
  <c r="E34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F22" i="1" s="1"/>
  <c r="E12" i="1"/>
  <c r="J6" i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H6" i="1"/>
  <c r="G6" i="1" s="1"/>
  <c r="F6" i="1" s="1"/>
  <c r="E6" i="1" s="1"/>
  <c r="E22" i="1" l="1"/>
  <c r="I22" i="1"/>
  <c r="M22" i="1"/>
  <c r="Q22" i="1"/>
  <c r="U22" i="1"/>
  <c r="E37" i="1"/>
  <c r="I37" i="1"/>
  <c r="I39" i="1" s="1"/>
  <c r="J9" i="1" s="1"/>
  <c r="G22" i="1"/>
  <c r="K22" i="1"/>
  <c r="S22" i="1"/>
  <c r="O22" i="1"/>
  <c r="R22" i="1"/>
  <c r="N22" i="1"/>
  <c r="F37" i="1"/>
  <c r="J22" i="1"/>
  <c r="L22" i="1"/>
  <c r="P22" i="1"/>
  <c r="T22" i="1"/>
  <c r="H37" i="1"/>
  <c r="H9" i="1" s="1"/>
  <c r="G39" i="1" s="1"/>
  <c r="G37" i="1"/>
  <c r="H22" i="1"/>
  <c r="G9" i="1" l="1"/>
  <c r="F39" i="1" s="1"/>
  <c r="F9" i="1" s="1"/>
  <c r="E39" i="1" s="1"/>
  <c r="E9" i="1" s="1"/>
  <c r="J34" i="1"/>
  <c r="J37" i="1" s="1"/>
  <c r="J39" i="1" s="1"/>
  <c r="K9" i="1" l="1"/>
  <c r="K34" i="1" l="1"/>
  <c r="K37" i="1" s="1"/>
  <c r="K39" i="1" s="1"/>
  <c r="L9" i="1" l="1"/>
  <c r="L34" i="1" l="1"/>
  <c r="L37" i="1" s="1"/>
  <c r="L39" i="1" s="1"/>
  <c r="M9" i="1" l="1"/>
  <c r="M34" i="1" l="1"/>
  <c r="M37" i="1" s="1"/>
  <c r="M39" i="1" s="1"/>
  <c r="N9" i="1" l="1"/>
  <c r="N34" i="1" l="1"/>
  <c r="N37" i="1" s="1"/>
  <c r="N39" i="1" s="1"/>
  <c r="O9" i="1" l="1"/>
  <c r="O34" i="1" l="1"/>
  <c r="O37" i="1" s="1"/>
  <c r="O39" i="1" s="1"/>
  <c r="P9" i="1" l="1"/>
  <c r="P34" i="1" l="1"/>
  <c r="P37" i="1" s="1"/>
  <c r="P39" i="1" s="1"/>
  <c r="Q9" i="1" l="1"/>
  <c r="Q34" i="1" l="1"/>
  <c r="Q37" i="1" s="1"/>
  <c r="Q39" i="1" s="1"/>
  <c r="R9" i="1" l="1"/>
  <c r="R34" i="1" l="1"/>
  <c r="R37" i="1" s="1"/>
  <c r="R39" i="1" s="1"/>
  <c r="S9" i="1" l="1"/>
  <c r="S34" i="1" l="1"/>
  <c r="S37" i="1" s="1"/>
  <c r="S39" i="1" s="1"/>
  <c r="T9" i="1" l="1"/>
  <c r="T34" i="1" l="1"/>
  <c r="T37" i="1" s="1"/>
  <c r="T39" i="1" s="1"/>
  <c r="U9" i="1" l="1"/>
  <c r="U34" i="1" l="1"/>
  <c r="U37" i="1" s="1"/>
  <c r="U39" i="1" s="1"/>
</calcChain>
</file>

<file path=xl/sharedStrings.xml><?xml version="1.0" encoding="utf-8"?>
<sst xmlns="http://schemas.openxmlformats.org/spreadsheetml/2006/main" count="53" uniqueCount="41">
  <si>
    <t>13 Week Cash Flow Forcast</t>
  </si>
  <si>
    <t>Cash Floor</t>
  </si>
  <si>
    <t> </t>
  </si>
  <si>
    <t>Previous 4 Weeks</t>
  </si>
  <si>
    <t>13 Week Projections</t>
  </si>
  <si>
    <t>Date at Start of Week</t>
  </si>
  <si>
    <t>Week Number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</si>
  <si>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</si>
  <si>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</si>
  <si>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</si>
  <si>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</si>
  <si>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</si>
  <si>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</si>
  <si>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</si>
  <si>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</si>
  <si>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</si>
  <si>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</si>
  <si>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</si>
  <si>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</si>
  <si>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</si>
  <si>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Beginning Bank Balance</t>
  </si>
  <si>
    <t>Cash Inflows</t>
  </si>
  <si>
    <t>AR Collected</t>
  </si>
  <si>
    <t>Other Income</t>
  </si>
  <si>
    <t>Line of Credit Advances and Loan</t>
  </si>
  <si>
    <t>Total Cash Inflows</t>
  </si>
  <si>
    <t>Cash Outflows</t>
  </si>
  <si>
    <t>Expenses &amp; Accounts Payable</t>
  </si>
  <si>
    <t>Credit Cards And Loans</t>
  </si>
  <si>
    <t>Owner's Expense</t>
  </si>
  <si>
    <t>Total Cash Outflows</t>
  </si>
  <si>
    <t>Ending Bank Balance</t>
  </si>
  <si>
    <t>10998 Merchant Clearing</t>
  </si>
  <si>
    <t>10999 Due to / From Strong 1</t>
  </si>
  <si>
    <t>Lines of credit</t>
  </si>
  <si>
    <t>Owner Distributions/Withdrawals</t>
  </si>
  <si>
    <t>20000 Accounts Payable (A/P)</t>
  </si>
  <si>
    <t>23400 Payroll Clearing</t>
  </si>
  <si>
    <t>61070 General and Administrative:Payroll Expenses:Payroll Processing Fees</t>
  </si>
  <si>
    <t>70010 Interest Expense</t>
  </si>
  <si>
    <t>20999 American Expense CC Clearing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</si>
</sst>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12">
    <font>
      <sz val="11"/>
      <color theme="1"/>
      <name val="Aptos Narrow"/>
      <scheme val="minor"/>
    </font>
    <font>
      <sz val="12"/>
      <color rgb="FF000000"/>
      <name val="Aptos Narrow"/>
    </font>
    <font>
      <sz val="16"/>
      <color rgb="FFFFFFFF"/>
      <name val="Aptos Narrow"/>
    </font>
    <font>
      <sz val="11"/>
      <name val="Aptos Narrow"/>
    </font>
    <font>
      <sz val="11"/>
      <color theme="1"/>
      <name val="Arial"/>
    </font>
    <font>
      <b/>
      <sz val="12"/>
      <color rgb="FF000000"/>
      <name val="Aptos Narrow"/>
    </font>
    <font>
      <sz val="12"/>
      <color rgb="FF000000"/>
      <name val="Arial"/>
    </font>
    <font>
      <sz val="12"/>
      <color theme="1"/>
      <name val="Arial"/>
    </font>
    <font>
      <b/>
      <sz val="12"/>
      <color rgb="FF000000"/>
      <name val="Arial"/>
    </font>
    <font>
      <sz val="12"/>
      <color theme="1"/>
      <name val="Aptos Narrow"/>
    </font>
    <font>
      <b/>
      <sz val="11"/>
      <color theme="1"/>
      <name val="Aptos Narrow"/>
    </font>
    <font>
      <sz val="12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2977E"/>
        <bgColor rgb="FFF2977E"/>
      </patternFill>
    </fill>
    <fill>
      <patternFill patternType="solid">
        <fgColor rgb="FFA3A5D0"/>
        <bgColor rgb="FFA3A5D0"/>
      </patternFill>
    </fill>
    <fill>
      <patternFill patternType="solid">
        <fgColor rgb="FFBFBFBF"/>
        <bgColor rgb="FFBFBFBF"/>
      </patternFill>
    </fill>
    <fill>
      <patternFill patternType="solid">
        <fgColor rgb="FF53C9B8"/>
        <bgColor rgb="FF53C9B8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164" fontId="4" fillId="0" borderId="0" xfId="0" applyNumberFormat="1" applyFont="1"/>
    <xf numFmtId="0" fontId="5" fillId="3" borderId="9" xfId="0" applyFont="1" applyFill="1" applyBorder="1"/>
    <xf numFmtId="14" fontId="1" fillId="3" borderId="9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44" fontId="1" fillId="3" borderId="9" xfId="0" applyNumberFormat="1" applyFont="1" applyFill="1" applyBorder="1"/>
    <xf numFmtId="44" fontId="1" fillId="0" borderId="0" xfId="0" applyNumberFormat="1" applyFont="1"/>
    <xf numFmtId="44" fontId="1" fillId="4" borderId="9" xfId="0" applyNumberFormat="1" applyFont="1" applyFill="1" applyBorder="1"/>
    <xf numFmtId="44" fontId="6" fillId="5" borderId="9" xfId="0" applyNumberFormat="1" applyFont="1" applyFill="1" applyBorder="1"/>
    <xf numFmtId="44" fontId="6" fillId="0" borderId="0" xfId="0" applyNumberFormat="1" applyFont="1"/>
    <xf numFmtId="0" fontId="9" fillId="0" borderId="0" xfId="0" applyFont="1"/>
    <xf numFmtId="43" fontId="9" fillId="0" borderId="0" xfId="0" applyNumberFormat="1" applyFont="1"/>
    <xf numFmtId="43" fontId="9" fillId="5" borderId="9" xfId="0" applyNumberFormat="1" applyFont="1" applyFill="1" applyBorder="1"/>
    <xf numFmtId="0" fontId="10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3" borderId="10" xfId="0" applyFont="1" applyFill="1" applyBorder="1" applyAlignment="1">
      <alignment horizont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5" fillId="3" borderId="10" xfId="0" applyFont="1" applyFill="1" applyBorder="1" applyAlignment="1">
      <alignment wrapText="1"/>
    </xf>
    <xf numFmtId="0" fontId="5" fillId="0" borderId="0" xfId="0" applyFont="1"/>
    <xf numFmtId="0" fontId="5" fillId="4" borderId="10" xfId="0" applyFont="1" applyFill="1" applyBorder="1"/>
    <xf numFmtId="0" fontId="8" fillId="4" borderId="10" xfId="0" applyFont="1" applyFill="1" applyBorder="1"/>
    <xf numFmtId="0" fontId="11" fillId="0" borderId="0" xfId="0" applyFont="1"/>
    <xf numFmtId="43" fontId="11" fillId="0" borderId="0" xfId="0" applyNumberFormat="1" applyFont="1"/>
    <xf numFmtId="43" fontId="11" fillId="5" borderId="0" xfId="0" applyNumberFormat="1" applyFont="1" applyFill="1"/>
    <xf numFmtId="0" fontId="1" fillId="0" borderId="0" xfId="0" applyFont="1" applyFill="1"/>
    <xf numFmtId="0" fontId="4" fillId="0" borderId="9" xfId="0" applyFont="1" applyFill="1" applyBorder="1"/>
    <xf numFmtId="44" fontId="1" fillId="0" borderId="9" xfId="0" applyNumberFormat="1" applyFont="1" applyFill="1" applyBorder="1"/>
    <xf numFmtId="44" fontId="6" fillId="0" borderId="9" xfId="0" applyNumberFormat="1" applyFont="1" applyFill="1" applyBorder="1"/>
    <xf numFmtId="44" fontId="7" fillId="0" borderId="9" xfId="0" applyNumberFormat="1" applyFont="1" applyFill="1" applyBorder="1" applyAlignment="1">
      <alignment horizontal="right"/>
    </xf>
    <xf numFmtId="0" fontId="0" fillId="0" borderId="0" xfId="0" applyFill="1"/>
    <xf numFmtId="0" fontId="7" fillId="0" borderId="9" xfId="0" applyFont="1" applyFill="1" applyBorder="1"/>
    <xf numFmtId="14" fontId="1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1" fillId="0" borderId="13" xfId="0" applyFont="1" applyBorder="1"/>
    <xf numFmtId="44" fontId="1" fillId="3" borderId="13" xfId="0" applyNumberFormat="1" applyFont="1" applyFill="1" applyBorder="1"/>
    <xf numFmtId="44" fontId="1" fillId="0" borderId="13" xfId="0" applyNumberFormat="1" applyFont="1" applyBorder="1"/>
    <xf numFmtId="44" fontId="1" fillId="4" borderId="13" xfId="0" applyNumberFormat="1" applyFont="1" applyFill="1" applyBorder="1"/>
    <xf numFmtId="43" fontId="11" fillId="0" borderId="13" xfId="0" applyNumberFormat="1" applyFont="1" applyBorder="1"/>
    <xf numFmtId="44" fontId="1" fillId="0" borderId="13" xfId="0" applyNumberFormat="1" applyFont="1" applyFill="1" applyBorder="1"/>
    <xf numFmtId="44" fontId="6" fillId="0" borderId="13" xfId="0" applyNumberFormat="1" applyFont="1" applyBorder="1"/>
    <xf numFmtId="43" fontId="9" fillId="0" borderId="13" xfId="0" applyNumberFormat="1" applyFont="1" applyBorder="1"/>
    <xf numFmtId="14" fontId="6" fillId="3" borderId="14" xfId="0" applyNumberFormat="1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1" fillId="0" borderId="14" xfId="0" applyFont="1" applyBorder="1"/>
    <xf numFmtId="43" fontId="11" fillId="3" borderId="14" xfId="0" applyNumberFormat="1" applyFont="1" applyFill="1" applyBorder="1"/>
    <xf numFmtId="44" fontId="1" fillId="0" borderId="14" xfId="0" applyNumberFormat="1" applyFont="1" applyBorder="1"/>
    <xf numFmtId="44" fontId="1" fillId="4" borderId="14" xfId="0" applyNumberFormat="1" applyFont="1" applyFill="1" applyBorder="1"/>
    <xf numFmtId="43" fontId="11" fillId="5" borderId="14" xfId="0" applyNumberFormat="1" applyFont="1" applyFill="1" applyBorder="1"/>
    <xf numFmtId="44" fontId="6" fillId="0" borderId="14" xfId="0" applyNumberFormat="1" applyFont="1" applyFill="1" applyBorder="1"/>
    <xf numFmtId="44" fontId="6" fillId="5" borderId="14" xfId="0" applyNumberFormat="1" applyFont="1" applyFill="1" applyBorder="1"/>
    <xf numFmtId="44" fontId="7" fillId="0" borderId="14" xfId="0" applyNumberFormat="1" applyFont="1" applyFill="1" applyBorder="1" applyAlignment="1">
      <alignment horizontal="right"/>
    </xf>
    <xf numFmtId="43" fontId="9" fillId="5" borderId="14" xfId="0" applyNumberFormat="1" applyFont="1" applyFill="1" applyBorder="1"/>
    <xf numFmtId="44" fontId="1" fillId="3" borderId="14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76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I25" sqref="I25"/>
    </sheetView>
  </sheetViews>
  <sheetFormatPr defaultColWidth="12.5703125" defaultRowHeight="15" customHeight="1" outlineLevelRow="1"/>
  <cols>
    <col min="1" max="3" width="8.85546875" customWidth="1"/>
    <col min="4" max="4" width="58.7109375" customWidth="1"/>
    <col min="5" max="6" width="14.42578125" customWidth="1"/>
    <col min="7" max="7" width="16.42578125" customWidth="1"/>
    <col min="8" max="8" width="14.42578125" customWidth="1"/>
    <col min="9" max="9" width="15.85546875" customWidth="1"/>
    <col min="10" max="10" width="15.5703125" customWidth="1"/>
    <col min="11" max="15" width="14.42578125" customWidth="1"/>
    <col min="16" max="16" width="15.5703125" customWidth="1"/>
    <col min="17" max="17" width="14.28515625" customWidth="1"/>
    <col min="18" max="18" width="15.5703125" customWidth="1"/>
    <col min="19" max="21" width="14.42578125" customWidth="1"/>
  </cols>
  <sheetData>
    <row r="1" spans="1:21" ht="15" customHeight="1">
      <c r="A1" s="1"/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</row>
    <row r="2" spans="1:21" ht="15.75">
      <c r="A2" s="1"/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1" ht="15.75">
      <c r="A3" s="1"/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:21" ht="15.75">
      <c r="A4" s="1"/>
      <c r="B4" s="1"/>
      <c r="C4" s="1"/>
      <c r="D4" s="1" t="s">
        <v>1</v>
      </c>
      <c r="E4" s="2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" customHeight="1">
      <c r="A5" s="1"/>
      <c r="B5" s="3" t="s">
        <v>2</v>
      </c>
      <c r="C5" s="3" t="s">
        <v>2</v>
      </c>
      <c r="D5" s="3" t="s">
        <v>2</v>
      </c>
      <c r="E5" s="24" t="s">
        <v>3</v>
      </c>
      <c r="F5" s="25"/>
      <c r="G5" s="25"/>
      <c r="H5" s="26"/>
      <c r="I5" s="24" t="s">
        <v>4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7"/>
    </row>
    <row r="6" spans="1:21" ht="15" customHeight="1">
      <c r="A6" s="1"/>
      <c r="B6" s="28" t="s">
        <v>5</v>
      </c>
      <c r="C6" s="25"/>
      <c r="D6" s="27"/>
      <c r="E6" s="4">
        <f t="shared" ref="E6:H6" si="0">F6-7</f>
        <v>46048</v>
      </c>
      <c r="F6" s="4">
        <f t="shared" si="0"/>
        <v>46055</v>
      </c>
      <c r="G6" s="4">
        <f t="shared" si="0"/>
        <v>46062</v>
      </c>
      <c r="H6" s="42">
        <f t="shared" si="0"/>
        <v>46069</v>
      </c>
      <c r="I6" s="52">
        <v>46076</v>
      </c>
      <c r="J6" s="4">
        <f t="shared" ref="J6:U6" si="1">I6+7</f>
        <v>46083</v>
      </c>
      <c r="K6" s="4">
        <f t="shared" si="1"/>
        <v>46090</v>
      </c>
      <c r="L6" s="4">
        <f t="shared" si="1"/>
        <v>46097</v>
      </c>
      <c r="M6" s="4">
        <f t="shared" si="1"/>
        <v>46104</v>
      </c>
      <c r="N6" s="4">
        <f t="shared" si="1"/>
        <v>46111</v>
      </c>
      <c r="O6" s="4">
        <f t="shared" si="1"/>
        <v>46118</v>
      </c>
      <c r="P6" s="4">
        <f t="shared" si="1"/>
        <v>46125</v>
      </c>
      <c r="Q6" s="4">
        <f t="shared" si="1"/>
        <v>46132</v>
      </c>
      <c r="R6" s="4">
        <f t="shared" si="1"/>
        <v>46139</v>
      </c>
      <c r="S6" s="4">
        <f t="shared" si="1"/>
        <v>46146</v>
      </c>
      <c r="T6" s="4">
        <f t="shared" si="1"/>
        <v>46153</v>
      </c>
      <c r="U6" s="4">
        <f t="shared" si="1"/>
        <v>46160</v>
      </c>
    </row>
    <row r="7" spans="1:21" ht="15" customHeight="1">
      <c r="A7" s="1"/>
      <c r="B7" s="28" t="s">
        <v>6</v>
      </c>
      <c r="C7" s="25"/>
      <c r="D7" s="27"/>
      <c r="E7" s="5" t="s">
        <v>2</v>
      </c>
      <c r="F7" s="5" t="s">
        <v>2</v>
      </c>
      <c r="G7" s="5" t="s">
        <v>2</v>
      </c>
      <c r="H7" s="43" t="s">
        <v>2</v>
      </c>
      <c r="I7" s="53" t="s">
        <v>7</v>
      </c>
      <c r="J7" s="5" t="s">
        <v>8</v>
      </c>
      <c r="K7" s="5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14</v>
      </c>
      <c r="Q7" s="5" t="s">
        <v>15</v>
      </c>
      <c r="R7" s="5" t="s">
        <v>16</v>
      </c>
      <c r="S7" s="5" t="s">
        <v>17</v>
      </c>
      <c r="T7" s="5" t="s">
        <v>18</v>
      </c>
      <c r="U7" s="5" t="s">
        <v>19</v>
      </c>
    </row>
    <row r="8" spans="1:21" ht="15.75">
      <c r="A8" s="1"/>
      <c r="B8" s="1"/>
      <c r="C8" s="1"/>
      <c r="D8" s="1"/>
      <c r="E8" s="1"/>
      <c r="F8" s="1"/>
      <c r="G8" s="1"/>
      <c r="H8" s="44" t="s">
        <v>2</v>
      </c>
      <c r="I8" s="5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" customHeight="1">
      <c r="A9" s="1"/>
      <c r="B9" s="28" t="s">
        <v>20</v>
      </c>
      <c r="C9" s="25"/>
      <c r="D9" s="27"/>
      <c r="E9" s="6">
        <f>E39-E37-E22</f>
        <v>38987.58</v>
      </c>
      <c r="F9" s="6">
        <f>F39-F37-F22</f>
        <v>28828.13</v>
      </c>
      <c r="G9" s="6">
        <f>G39-G37-G22</f>
        <v>25956.860000000004</v>
      </c>
      <c r="H9" s="45">
        <f>H39-H37-H22</f>
        <v>56090.8</v>
      </c>
      <c r="I9" s="55">
        <v>59809.04</v>
      </c>
      <c r="J9" s="6">
        <f t="shared" ref="J9:U9" si="2">I39</f>
        <v>58113.757988227851</v>
      </c>
      <c r="K9" s="6">
        <f t="shared" si="2"/>
        <v>59000.500962801605</v>
      </c>
      <c r="L9" s="6">
        <f t="shared" si="2"/>
        <v>77385.522379326052</v>
      </c>
      <c r="M9" s="6">
        <f t="shared" si="2"/>
        <v>93773.754207204009</v>
      </c>
      <c r="N9" s="6">
        <f t="shared" si="2"/>
        <v>106597.12555719545</v>
      </c>
      <c r="O9" s="6">
        <f t="shared" si="2"/>
        <v>102662.98348656247</v>
      </c>
      <c r="P9" s="6">
        <f t="shared" si="2"/>
        <v>101918.64431423732</v>
      </c>
      <c r="Q9" s="6">
        <f t="shared" si="2"/>
        <v>118441.47225830251</v>
      </c>
      <c r="R9" s="6">
        <f t="shared" si="2"/>
        <v>131709.72303769458</v>
      </c>
      <c r="S9" s="6">
        <f t="shared" si="2"/>
        <v>125984.49291997292</v>
      </c>
      <c r="T9" s="6">
        <f t="shared" si="2"/>
        <v>123935.28803012864</v>
      </c>
      <c r="U9" s="6">
        <f t="shared" si="2"/>
        <v>138968.36119622644</v>
      </c>
    </row>
    <row r="10" spans="1:21" ht="15.75">
      <c r="A10" s="1"/>
      <c r="B10" s="1"/>
      <c r="C10" s="1"/>
      <c r="D10" s="1"/>
      <c r="E10" s="7"/>
      <c r="F10" s="7"/>
      <c r="G10" s="7"/>
      <c r="H10" s="46" t="s">
        <v>2</v>
      </c>
      <c r="I10" s="5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1"/>
      <c r="B11" s="29" t="s">
        <v>21</v>
      </c>
      <c r="C11" s="19"/>
      <c r="D11" s="19"/>
      <c r="E11" s="7"/>
      <c r="F11" s="7"/>
      <c r="G11" s="7"/>
      <c r="H11" s="46" t="s">
        <v>2</v>
      </c>
      <c r="I11" s="5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1"/>
      <c r="B12" s="1"/>
      <c r="C12" s="30" t="s">
        <v>22</v>
      </c>
      <c r="D12" s="27"/>
      <c r="E12" s="8">
        <f>SUM(E13:E14)</f>
        <v>25022.19</v>
      </c>
      <c r="F12" s="8">
        <f>SUM(F13:F14)</f>
        <v>27374.01</v>
      </c>
      <c r="G12" s="8">
        <f>SUM(G13:G14)</f>
        <v>31333.94</v>
      </c>
      <c r="H12" s="47">
        <f>SUM(H13:H14)</f>
        <v>3718.24</v>
      </c>
      <c r="I12" s="57">
        <f>SUM(I13:I14)</f>
        <v>23720.672988227841</v>
      </c>
      <c r="J12" s="8">
        <f>SUM(J13:J14)</f>
        <v>16955.062974573761</v>
      </c>
      <c r="K12" s="8">
        <f>SUM(K13:K14)</f>
        <v>18985.021416524451</v>
      </c>
      <c r="L12" s="8">
        <f>SUM(L13:L14)</f>
        <v>31184.14182787796</v>
      </c>
      <c r="M12" s="8">
        <f>SUM(M13:M14)</f>
        <v>37183.24134999144</v>
      </c>
      <c r="N12" s="8">
        <f>SUM(N13:N14)</f>
        <v>21481.81292936701</v>
      </c>
      <c r="O12" s="8">
        <f>SUM(O13:O14)</f>
        <v>15323.980827674841</v>
      </c>
      <c r="P12" s="8">
        <f>SUM(P13:P14)</f>
        <v>17122.8279440652</v>
      </c>
      <c r="Q12" s="8">
        <f>SUM(Q13:Q14)</f>
        <v>28064.16077939207</v>
      </c>
      <c r="R12" s="8">
        <f>SUM(R13:R14)</f>
        <v>19690.72488227834</v>
      </c>
      <c r="S12" s="8">
        <f>SUM(S13:S14)</f>
        <v>14019.11511015571</v>
      </c>
      <c r="T12" s="8">
        <f>SUM(T13:T14)</f>
        <v>15633.073166097811</v>
      </c>
      <c r="U12" s="8">
        <f>SUM(U13:U14)</f>
        <v>25568.17594060336</v>
      </c>
    </row>
    <row r="13" spans="1:21" ht="15.75" customHeight="1">
      <c r="A13" s="1"/>
      <c r="B13" s="1"/>
      <c r="C13" s="1"/>
      <c r="D13" s="32" t="s">
        <v>32</v>
      </c>
      <c r="E13" s="33">
        <v>25022.19</v>
      </c>
      <c r="F13" s="33">
        <v>27374.01</v>
      </c>
      <c r="G13" s="33">
        <v>31333.94</v>
      </c>
      <c r="H13" s="48">
        <v>3718.24</v>
      </c>
      <c r="I13" s="58">
        <v>23720.672988227841</v>
      </c>
      <c r="J13" s="34">
        <v>16955.062974573761</v>
      </c>
      <c r="K13" s="34">
        <v>18985.021416524451</v>
      </c>
      <c r="L13" s="34">
        <v>31184.14182787796</v>
      </c>
      <c r="M13" s="34">
        <v>37183.24134999144</v>
      </c>
      <c r="N13" s="34">
        <v>21481.81292936701</v>
      </c>
      <c r="O13" s="34">
        <v>15323.980827674841</v>
      </c>
      <c r="P13" s="34">
        <v>17122.8279440652</v>
      </c>
      <c r="Q13" s="34">
        <v>28064.16077939207</v>
      </c>
      <c r="R13" s="34">
        <v>19690.72488227834</v>
      </c>
      <c r="S13" s="34">
        <v>14019.11511015571</v>
      </c>
      <c r="T13" s="34">
        <v>15633.073166097811</v>
      </c>
      <c r="U13" s="34">
        <v>25568.17594060336</v>
      </c>
    </row>
    <row r="14" spans="1:21" s="40" customFormat="1" ht="15.75" customHeight="1" outlineLevel="1">
      <c r="A14" s="35"/>
      <c r="B14" s="35"/>
      <c r="C14" s="35"/>
      <c r="D14" s="36"/>
      <c r="E14" s="37"/>
      <c r="F14" s="37"/>
      <c r="G14" s="37"/>
      <c r="H14" s="49"/>
      <c r="I14" s="59"/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  <row r="15" spans="1:21" ht="15" customHeight="1">
      <c r="A15" s="1"/>
      <c r="B15" s="1"/>
      <c r="C15" s="30" t="s">
        <v>23</v>
      </c>
      <c r="D15" s="27"/>
      <c r="E15" s="8">
        <f>E16+E17</f>
        <v>6944</v>
      </c>
      <c r="F15" s="8">
        <f t="shared" ref="F15:U15" si="3">F16+F17</f>
        <v>0</v>
      </c>
      <c r="G15" s="8">
        <f t="shared" si="3"/>
        <v>0</v>
      </c>
      <c r="H15" s="47">
        <f t="shared" si="3"/>
        <v>0</v>
      </c>
      <c r="I15" s="57">
        <f t="shared" si="3"/>
        <v>0</v>
      </c>
      <c r="J15" s="8">
        <f t="shared" si="3"/>
        <v>0</v>
      </c>
      <c r="K15" s="8">
        <f t="shared" si="3"/>
        <v>0</v>
      </c>
      <c r="L15" s="8">
        <f t="shared" si="3"/>
        <v>0</v>
      </c>
      <c r="M15" s="8">
        <f t="shared" si="3"/>
        <v>0</v>
      </c>
      <c r="N15" s="8">
        <f t="shared" si="3"/>
        <v>0</v>
      </c>
      <c r="O15" s="8">
        <f t="shared" si="3"/>
        <v>0</v>
      </c>
      <c r="P15" s="8">
        <f t="shared" si="3"/>
        <v>0</v>
      </c>
      <c r="Q15" s="8">
        <f t="shared" si="3"/>
        <v>0</v>
      </c>
      <c r="R15" s="8">
        <f t="shared" si="3"/>
        <v>0</v>
      </c>
      <c r="S15" s="8">
        <f t="shared" si="3"/>
        <v>0</v>
      </c>
      <c r="T15" s="8">
        <f t="shared" si="3"/>
        <v>0</v>
      </c>
      <c r="U15" s="8">
        <f t="shared" si="3"/>
        <v>0</v>
      </c>
    </row>
    <row r="16" spans="1:21" ht="15.75" customHeight="1" outlineLevel="1">
      <c r="A16" s="1"/>
      <c r="B16" s="1"/>
      <c r="C16" s="1"/>
      <c r="D16" s="32" t="s">
        <v>35</v>
      </c>
      <c r="E16" s="33">
        <v>6944</v>
      </c>
      <c r="F16" s="33">
        <v>0</v>
      </c>
      <c r="G16" s="33">
        <v>0</v>
      </c>
      <c r="H16" s="48">
        <v>0</v>
      </c>
      <c r="I16" s="58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</row>
    <row r="17" spans="1:21" ht="15.75" customHeight="1">
      <c r="A17" s="1"/>
      <c r="B17" s="1"/>
      <c r="C17" s="1"/>
      <c r="D17" s="1"/>
      <c r="E17" s="7"/>
      <c r="F17" s="7"/>
      <c r="G17" s="7"/>
      <c r="H17" s="46"/>
      <c r="I17" s="60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15" customHeight="1">
      <c r="A18" s="1"/>
      <c r="B18" s="1"/>
      <c r="C18" s="31" t="s">
        <v>24</v>
      </c>
      <c r="D18" s="27"/>
      <c r="E18" s="8">
        <v>0</v>
      </c>
      <c r="F18" s="8">
        <v>0</v>
      </c>
      <c r="G18" s="8">
        <v>0</v>
      </c>
      <c r="H18" s="47">
        <f t="shared" ref="H18:U18" si="4">SUM(H19:H21)</f>
        <v>0</v>
      </c>
      <c r="I18" s="57">
        <f t="shared" si="4"/>
        <v>-16968.990000000002</v>
      </c>
      <c r="J18" s="8">
        <f t="shared" si="4"/>
        <v>10859.5</v>
      </c>
      <c r="K18" s="8">
        <f t="shared" si="4"/>
        <v>0</v>
      </c>
      <c r="L18" s="8">
        <f t="shared" si="4"/>
        <v>0</v>
      </c>
      <c r="M18" s="8">
        <f t="shared" si="4"/>
        <v>16150</v>
      </c>
      <c r="N18" s="8">
        <f t="shared" si="4"/>
        <v>-16968.990000000002</v>
      </c>
      <c r="O18" s="8">
        <f t="shared" si="4"/>
        <v>10859.5</v>
      </c>
      <c r="P18" s="8">
        <f t="shared" si="4"/>
        <v>0</v>
      </c>
      <c r="Q18" s="8">
        <f t="shared" si="4"/>
        <v>0</v>
      </c>
      <c r="R18" s="8">
        <f t="shared" si="4"/>
        <v>-16968.990000000002</v>
      </c>
      <c r="S18" s="8">
        <f t="shared" si="4"/>
        <v>10859.5</v>
      </c>
      <c r="T18" s="8">
        <f t="shared" si="4"/>
        <v>0</v>
      </c>
      <c r="U18" s="8">
        <f t="shared" si="4"/>
        <v>0</v>
      </c>
    </row>
    <row r="19" spans="1:21" ht="15.75" customHeight="1" outlineLevel="1">
      <c r="A19" s="1"/>
      <c r="B19" s="1"/>
      <c r="C19" s="1"/>
      <c r="D19" s="32" t="s">
        <v>33</v>
      </c>
      <c r="E19" s="33">
        <v>4000</v>
      </c>
      <c r="F19" s="33">
        <v>0</v>
      </c>
      <c r="G19" s="33">
        <v>0</v>
      </c>
      <c r="H19" s="48">
        <v>0</v>
      </c>
      <c r="I19" s="58">
        <v>100</v>
      </c>
      <c r="J19" s="34">
        <v>10859.5</v>
      </c>
      <c r="K19" s="34">
        <v>0</v>
      </c>
      <c r="L19" s="34">
        <v>0</v>
      </c>
      <c r="M19" s="34">
        <v>8400</v>
      </c>
      <c r="N19" s="34">
        <v>100</v>
      </c>
      <c r="O19" s="34">
        <v>10859.5</v>
      </c>
      <c r="P19" s="34">
        <v>0</v>
      </c>
      <c r="Q19" s="34">
        <v>0</v>
      </c>
      <c r="R19" s="34">
        <v>100</v>
      </c>
      <c r="S19" s="34">
        <v>10859.5</v>
      </c>
      <c r="T19" s="34">
        <v>0</v>
      </c>
      <c r="U19" s="34">
        <v>0</v>
      </c>
    </row>
    <row r="20" spans="1:21" ht="15.75" customHeight="1" outlineLevel="1">
      <c r="A20" s="1"/>
      <c r="B20" s="1"/>
      <c r="C20" s="1"/>
      <c r="D20" s="32" t="s">
        <v>34</v>
      </c>
      <c r="E20" s="33">
        <v>20000</v>
      </c>
      <c r="F20" s="33">
        <v>0</v>
      </c>
      <c r="G20" s="33">
        <v>0</v>
      </c>
      <c r="H20" s="48">
        <v>0</v>
      </c>
      <c r="I20" s="58">
        <v>-17068.990000000002</v>
      </c>
      <c r="J20" s="34">
        <v>0</v>
      </c>
      <c r="K20" s="34">
        <v>0</v>
      </c>
      <c r="L20" s="34">
        <v>0</v>
      </c>
      <c r="M20" s="34">
        <v>7750</v>
      </c>
      <c r="N20" s="34">
        <v>-17068.990000000002</v>
      </c>
      <c r="O20" s="34">
        <v>0</v>
      </c>
      <c r="P20" s="34">
        <v>0</v>
      </c>
      <c r="Q20" s="34">
        <v>0</v>
      </c>
      <c r="R20" s="34">
        <v>-17068.990000000002</v>
      </c>
      <c r="S20" s="34">
        <v>0</v>
      </c>
      <c r="T20" s="34">
        <v>0</v>
      </c>
      <c r="U20" s="34">
        <v>0</v>
      </c>
    </row>
    <row r="21" spans="1:21" ht="15.75" customHeight="1">
      <c r="A21" s="1"/>
      <c r="B21" s="1"/>
      <c r="C21" s="1"/>
      <c r="D21" s="41"/>
      <c r="E21" s="37"/>
      <c r="F21" s="37"/>
      <c r="G21" s="37"/>
      <c r="H21" s="49"/>
      <c r="I21" s="61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spans="1:21" ht="15" customHeight="1">
      <c r="A22" s="1"/>
      <c r="B22" s="30" t="s">
        <v>25</v>
      </c>
      <c r="C22" s="25"/>
      <c r="D22" s="27"/>
      <c r="E22" s="8">
        <f>E12+E15+E18</f>
        <v>31966.19</v>
      </c>
      <c r="F22" s="8">
        <f>F12+F15+F18</f>
        <v>27374.01</v>
      </c>
      <c r="G22" s="8">
        <f>G12+G15+G18</f>
        <v>31333.94</v>
      </c>
      <c r="H22" s="47">
        <f>H18+H15+H12</f>
        <v>3718.24</v>
      </c>
      <c r="I22" s="57">
        <f>I12+I15+I18</f>
        <v>6751.6829882278398</v>
      </c>
      <c r="J22" s="8">
        <f>J12+J15+J18</f>
        <v>27814.562974573761</v>
      </c>
      <c r="K22" s="8">
        <f>K12+K15+K18</f>
        <v>18985.021416524451</v>
      </c>
      <c r="L22" s="8">
        <f>L12+L15+L18</f>
        <v>31184.14182787796</v>
      </c>
      <c r="M22" s="8">
        <f>M12+M15+M18</f>
        <v>53333.24134999144</v>
      </c>
      <c r="N22" s="8">
        <f>N12+N15+N18</f>
        <v>4512.8229293670083</v>
      </c>
      <c r="O22" s="8">
        <f>O12+O15+O18</f>
        <v>26183.480827674841</v>
      </c>
      <c r="P22" s="8">
        <f>P12+P15+P18</f>
        <v>17122.8279440652</v>
      </c>
      <c r="Q22" s="8">
        <f>Q12+Q15+Q18</f>
        <v>28064.16077939207</v>
      </c>
      <c r="R22" s="8">
        <f>R12+R15+R18</f>
        <v>2721.7348822783388</v>
      </c>
      <c r="S22" s="8">
        <f>S12+S15+S18</f>
        <v>24878.615110155712</v>
      </c>
      <c r="T22" s="8">
        <f>T12+T15+T18</f>
        <v>15633.073166097811</v>
      </c>
      <c r="U22" s="8">
        <f>U12+U15+U18</f>
        <v>25568.17594060336</v>
      </c>
    </row>
    <row r="23" spans="1:21" ht="15.75" customHeight="1">
      <c r="A23" s="1"/>
      <c r="B23" s="1"/>
      <c r="C23" s="1"/>
      <c r="D23" s="1"/>
      <c r="E23" s="7"/>
      <c r="F23" s="7"/>
      <c r="G23" s="7"/>
      <c r="H23" s="46" t="s">
        <v>2</v>
      </c>
      <c r="I23" s="5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15" customHeight="1">
      <c r="A24" s="1"/>
      <c r="B24" s="29" t="s">
        <v>26</v>
      </c>
      <c r="C24" s="19"/>
      <c r="D24" s="19"/>
      <c r="E24" s="7"/>
      <c r="F24" s="7"/>
      <c r="G24" s="7"/>
      <c r="H24" s="46" t="s">
        <v>2</v>
      </c>
      <c r="I24" s="5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15" customHeight="1">
      <c r="A25" s="1"/>
      <c r="B25" s="1"/>
      <c r="C25" s="30" t="s">
        <v>27</v>
      </c>
      <c r="D25" s="27"/>
      <c r="E25" s="8">
        <f>-SUM(E26:E30)</f>
        <v>-22125.64</v>
      </c>
      <c r="F25" s="8">
        <f>-SUM(F26:F30)</f>
        <v>-30245.279999999999</v>
      </c>
      <c r="G25" s="8">
        <f>-SUM(G26:G30)</f>
        <v>-1200</v>
      </c>
      <c r="H25" s="47">
        <f>-SUM(H26:H30)</f>
        <v>0</v>
      </c>
      <c r="I25" s="57">
        <f>-SUM(I26:I30)</f>
        <v>-8446.9650000000001</v>
      </c>
      <c r="J25" s="8">
        <f>-SUM(J26:J30)</f>
        <v>-26927.82</v>
      </c>
      <c r="K25" s="8">
        <f>-SUM(K26:K30)</f>
        <v>-600</v>
      </c>
      <c r="L25" s="8">
        <f>-SUM(L26:L30)</f>
        <v>-14795.91</v>
      </c>
      <c r="M25" s="8">
        <f>-SUM(M26:M30)</f>
        <v>-40509.869999999995</v>
      </c>
      <c r="N25" s="8">
        <f>-SUM(N26:N30)</f>
        <v>-8446.9650000000001</v>
      </c>
      <c r="O25" s="8">
        <f>-SUM(O26:O30)</f>
        <v>-26927.82</v>
      </c>
      <c r="P25" s="8">
        <f>-SUM(P26:P30)</f>
        <v>-600</v>
      </c>
      <c r="Q25" s="8">
        <f>-SUM(Q26:Q30)</f>
        <v>-14795.91</v>
      </c>
      <c r="R25" s="8">
        <f>-SUM(R26:R30)</f>
        <v>-8446.9650000000001</v>
      </c>
      <c r="S25" s="8">
        <f>-SUM(S26:S30)</f>
        <v>-26927.82</v>
      </c>
      <c r="T25" s="8">
        <f>-SUM(T26:T30)</f>
        <v>-600</v>
      </c>
      <c r="U25" s="8">
        <f>-SUM(U26:U30)</f>
        <v>-14795.91</v>
      </c>
    </row>
    <row r="26" spans="1:21" ht="15.75" customHeight="1" outlineLevel="1">
      <c r="A26" s="1"/>
      <c r="B26" s="1"/>
      <c r="C26" s="1"/>
      <c r="D26" s="32" t="s">
        <v>36</v>
      </c>
      <c r="E26" s="33">
        <v>8304.01</v>
      </c>
      <c r="F26" s="33">
        <v>0</v>
      </c>
      <c r="G26" s="33">
        <v>1200</v>
      </c>
      <c r="H26" s="48">
        <v>0</v>
      </c>
      <c r="I26" s="58">
        <v>5329.8850000000002</v>
      </c>
      <c r="J26" s="34">
        <v>0</v>
      </c>
      <c r="K26" s="34">
        <v>600</v>
      </c>
      <c r="L26" s="34">
        <v>2546.41</v>
      </c>
      <c r="M26" s="34">
        <v>3016.105</v>
      </c>
      <c r="N26" s="34">
        <v>5329.8850000000002</v>
      </c>
      <c r="O26" s="34">
        <v>0</v>
      </c>
      <c r="P26" s="34">
        <v>600</v>
      </c>
      <c r="Q26" s="34">
        <v>2546.41</v>
      </c>
      <c r="R26" s="34">
        <v>5329.8850000000002</v>
      </c>
      <c r="S26" s="34">
        <v>0</v>
      </c>
      <c r="T26" s="34">
        <v>600</v>
      </c>
      <c r="U26" s="34">
        <v>2546.41</v>
      </c>
    </row>
    <row r="27" spans="1:21" ht="15.75" customHeight="1" outlineLevel="1">
      <c r="A27" s="1"/>
      <c r="B27" s="1"/>
      <c r="C27" s="1"/>
      <c r="D27" s="32" t="s">
        <v>37</v>
      </c>
      <c r="E27" s="33">
        <v>0</v>
      </c>
      <c r="F27" s="33">
        <v>30245.279999999999</v>
      </c>
      <c r="G27" s="33">
        <v>0</v>
      </c>
      <c r="H27" s="48">
        <v>0</v>
      </c>
      <c r="I27" s="58">
        <v>0</v>
      </c>
      <c r="J27" s="34">
        <v>26927.82</v>
      </c>
      <c r="K27" s="34">
        <v>0</v>
      </c>
      <c r="L27" s="34">
        <v>12249.5</v>
      </c>
      <c r="M27" s="34">
        <v>21515.375</v>
      </c>
      <c r="N27" s="34">
        <v>0</v>
      </c>
      <c r="O27" s="34">
        <v>26927.82</v>
      </c>
      <c r="P27" s="34">
        <v>0</v>
      </c>
      <c r="Q27" s="34">
        <v>12249.5</v>
      </c>
      <c r="R27" s="34">
        <v>0</v>
      </c>
      <c r="S27" s="34">
        <v>26927.82</v>
      </c>
      <c r="T27" s="34">
        <v>0</v>
      </c>
      <c r="U27" s="34">
        <v>12249.5</v>
      </c>
    </row>
    <row r="28" spans="1:21" ht="15.75" customHeight="1" outlineLevel="1">
      <c r="A28" s="1"/>
      <c r="B28" s="1"/>
      <c r="C28" s="1"/>
      <c r="D28" s="32" t="s">
        <v>38</v>
      </c>
      <c r="E28" s="33">
        <v>628.9</v>
      </c>
      <c r="F28" s="33">
        <v>0</v>
      </c>
      <c r="G28" s="33">
        <v>0</v>
      </c>
      <c r="H28" s="48">
        <v>0</v>
      </c>
      <c r="I28" s="58">
        <v>448.77</v>
      </c>
      <c r="J28" s="34">
        <v>0</v>
      </c>
      <c r="K28" s="34">
        <v>0</v>
      </c>
      <c r="L28" s="34">
        <v>0</v>
      </c>
      <c r="M28" s="34">
        <v>226</v>
      </c>
      <c r="N28" s="34">
        <v>448.77</v>
      </c>
      <c r="O28" s="34">
        <v>0</v>
      </c>
      <c r="P28" s="34">
        <v>0</v>
      </c>
      <c r="Q28" s="34">
        <v>0</v>
      </c>
      <c r="R28" s="34">
        <v>448.77</v>
      </c>
      <c r="S28" s="34">
        <v>0</v>
      </c>
      <c r="T28" s="34">
        <v>0</v>
      </c>
      <c r="U28" s="34">
        <v>0</v>
      </c>
    </row>
    <row r="29" spans="1:21" ht="15.75" customHeight="1" outlineLevel="1">
      <c r="A29" s="1"/>
      <c r="B29" s="1"/>
      <c r="C29" s="1"/>
      <c r="D29" s="32" t="s">
        <v>39</v>
      </c>
      <c r="E29" s="33">
        <v>13192.73</v>
      </c>
      <c r="F29" s="33">
        <v>0</v>
      </c>
      <c r="G29" s="33">
        <v>0</v>
      </c>
      <c r="H29" s="48">
        <v>0</v>
      </c>
      <c r="I29" s="58">
        <v>2668.31</v>
      </c>
      <c r="J29" s="34">
        <v>0</v>
      </c>
      <c r="K29" s="34">
        <v>0</v>
      </c>
      <c r="L29" s="34">
        <v>0</v>
      </c>
      <c r="M29" s="34">
        <v>15752.39</v>
      </c>
      <c r="N29" s="34">
        <v>2668.31</v>
      </c>
      <c r="O29" s="34">
        <v>0</v>
      </c>
      <c r="P29" s="34">
        <v>0</v>
      </c>
      <c r="Q29" s="34">
        <v>0</v>
      </c>
      <c r="R29" s="34">
        <v>2668.31</v>
      </c>
      <c r="S29" s="34">
        <v>0</v>
      </c>
      <c r="T29" s="34">
        <v>0</v>
      </c>
      <c r="U29" s="34">
        <v>0</v>
      </c>
    </row>
    <row r="30" spans="1:21" ht="15.75" customHeight="1" outlineLevel="1">
      <c r="A30" s="1"/>
      <c r="B30" s="1"/>
      <c r="C30" s="1"/>
      <c r="D30" s="10"/>
      <c r="E30" s="7"/>
      <c r="F30" s="7"/>
      <c r="G30" s="7"/>
      <c r="H30" s="50"/>
      <c r="I30" s="6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ht="15" customHeight="1">
      <c r="A31" s="1"/>
      <c r="B31" s="1"/>
      <c r="C31" s="30" t="s">
        <v>28</v>
      </c>
      <c r="D31" s="27"/>
      <c r="E31" s="8">
        <f>-SUM(E32:E33)</f>
        <v>-20000</v>
      </c>
      <c r="F31" s="8">
        <f>-SUM(F32:F33)</f>
        <v>0</v>
      </c>
      <c r="G31" s="8">
        <f>-SUM(G32:G33)</f>
        <v>0</v>
      </c>
      <c r="H31" s="47">
        <f>-SUM(H32:H33)</f>
        <v>0</v>
      </c>
      <c r="I31" s="57">
        <f>-SUM(I32:I33)</f>
        <v>0</v>
      </c>
      <c r="J31" s="8">
        <f>-SUM(J32:J33)</f>
        <v>0</v>
      </c>
      <c r="K31" s="8">
        <f>-SUM(K32:K33)</f>
        <v>0</v>
      </c>
      <c r="L31" s="8">
        <f>-SUM(L32:L33)</f>
        <v>0</v>
      </c>
      <c r="M31" s="8">
        <f>-SUM(M32:M33)</f>
        <v>0</v>
      </c>
      <c r="N31" s="8">
        <f>-SUM(N32:N33)</f>
        <v>0</v>
      </c>
      <c r="O31" s="8">
        <f>-SUM(O32:O33)</f>
        <v>0</v>
      </c>
      <c r="P31" s="8">
        <f>-SUM(P32:P33)</f>
        <v>0</v>
      </c>
      <c r="Q31" s="8">
        <f>-SUM(Q32:Q33)</f>
        <v>0</v>
      </c>
      <c r="R31" s="8">
        <f>-SUM(R32:R33)</f>
        <v>0</v>
      </c>
      <c r="S31" s="8">
        <f>-SUM(S32:S33)</f>
        <v>0</v>
      </c>
      <c r="T31" s="8">
        <f>-SUM(T32:T33)</f>
        <v>0</v>
      </c>
      <c r="U31" s="8">
        <f>-SUM(U32:U33)</f>
        <v>0</v>
      </c>
    </row>
    <row r="32" spans="1:21" ht="15.75" customHeight="1" outlineLevel="1">
      <c r="A32" s="1"/>
      <c r="B32" s="1"/>
      <c r="C32" s="1"/>
      <c r="D32" s="32" t="s">
        <v>40</v>
      </c>
      <c r="E32" s="33">
        <v>20000</v>
      </c>
      <c r="F32" s="33">
        <v>0</v>
      </c>
      <c r="G32" s="33">
        <v>0</v>
      </c>
      <c r="H32" s="48">
        <v>0</v>
      </c>
      <c r="I32" s="58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</row>
    <row r="33" spans="1:21" ht="15.75" customHeight="1" outlineLevel="1">
      <c r="A33" s="1"/>
      <c r="B33" s="1"/>
      <c r="C33" s="1"/>
      <c r="D33" s="11"/>
      <c r="E33" s="12"/>
      <c r="F33" s="12"/>
      <c r="G33" s="12"/>
      <c r="H33" s="51"/>
      <c r="I33" s="62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spans="1:21" ht="15" customHeight="1">
      <c r="A34" s="1"/>
      <c r="B34" s="1"/>
      <c r="C34" s="30" t="s">
        <v>29</v>
      </c>
      <c r="D34" s="27"/>
      <c r="E34" s="8">
        <f>-SUM(E35:E36)</f>
        <v>0</v>
      </c>
      <c r="F34" s="8">
        <f>-SUM(F35:F36)</f>
        <v>0</v>
      </c>
      <c r="G34" s="8">
        <f>-SUM(G35:G36)</f>
        <v>0</v>
      </c>
      <c r="H34" s="47">
        <f>-SUM(H35:H36)</f>
        <v>0</v>
      </c>
      <c r="I34" s="57">
        <f>-SUM(I35:I36)</f>
        <v>0</v>
      </c>
      <c r="J34" s="8">
        <f>-SUM(J35:J36)</f>
        <v>0</v>
      </c>
      <c r="K34" s="8">
        <f>-SUM(K35:K36)</f>
        <v>0</v>
      </c>
      <c r="L34" s="8">
        <f>-SUM(L35:L36)</f>
        <v>0</v>
      </c>
      <c r="M34" s="8">
        <f>-SUM(M35:M36)</f>
        <v>0</v>
      </c>
      <c r="N34" s="8">
        <f>-SUM(N35:N36)</f>
        <v>0</v>
      </c>
      <c r="O34" s="8">
        <f>-SUM(O35:O36)</f>
        <v>0</v>
      </c>
      <c r="P34" s="8">
        <f>-SUM(P35:P36)</f>
        <v>0</v>
      </c>
      <c r="Q34" s="8">
        <f>-SUM(Q35:Q36)</f>
        <v>0</v>
      </c>
      <c r="R34" s="8">
        <f>-SUM(R35:R36)</f>
        <v>0</v>
      </c>
      <c r="S34" s="8">
        <f>-SUM(S35:S36)</f>
        <v>0</v>
      </c>
      <c r="T34" s="8">
        <f>-SUM(T35:T36)</f>
        <v>0</v>
      </c>
      <c r="U34" s="8">
        <f>-SUM(U35:U36)</f>
        <v>0</v>
      </c>
    </row>
    <row r="35" spans="1:21" ht="15.75" customHeight="1" outlineLevel="1">
      <c r="A35" s="1"/>
      <c r="B35" s="1"/>
      <c r="C35" s="1"/>
      <c r="D35" s="7"/>
      <c r="E35" s="7"/>
      <c r="F35" s="7"/>
      <c r="G35" s="7"/>
      <c r="H35" s="46"/>
      <c r="I35" s="59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</row>
    <row r="36" spans="1:21" ht="15.75" customHeight="1">
      <c r="A36" s="1"/>
      <c r="B36" s="1"/>
      <c r="C36" s="1"/>
      <c r="D36" s="1"/>
      <c r="E36" s="7"/>
      <c r="F36" s="7"/>
      <c r="G36" s="7"/>
      <c r="H36" s="46"/>
      <c r="I36" s="5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ht="15" customHeight="1">
      <c r="A37" s="1"/>
      <c r="B37" s="30" t="s">
        <v>30</v>
      </c>
      <c r="C37" s="25"/>
      <c r="D37" s="27"/>
      <c r="E37" s="8">
        <f>E31+E25+E34</f>
        <v>-42125.64</v>
      </c>
      <c r="F37" s="8">
        <f>F31+F25+F34</f>
        <v>-30245.279999999999</v>
      </c>
      <c r="G37" s="8">
        <f>G31+G25+G34</f>
        <v>-1200</v>
      </c>
      <c r="H37" s="47">
        <f>H31+H25+H34</f>
        <v>0</v>
      </c>
      <c r="I37" s="57">
        <f>I31+I25+I34</f>
        <v>-8446.9650000000001</v>
      </c>
      <c r="J37" s="8">
        <f>J31+J25+J34</f>
        <v>-26927.82</v>
      </c>
      <c r="K37" s="8">
        <f>K31+K25+K34</f>
        <v>-600</v>
      </c>
      <c r="L37" s="8">
        <f>L31+L25+L34</f>
        <v>-14795.91</v>
      </c>
      <c r="M37" s="8">
        <f>M31+M25+M34</f>
        <v>-40509.869999999995</v>
      </c>
      <c r="N37" s="8">
        <f>N31+N25+N34</f>
        <v>-8446.9650000000001</v>
      </c>
      <c r="O37" s="8">
        <f>O31+O25+O34</f>
        <v>-26927.82</v>
      </c>
      <c r="P37" s="8">
        <f>P31+P25+P34</f>
        <v>-600</v>
      </c>
      <c r="Q37" s="8">
        <f>Q31+Q25+Q34</f>
        <v>-14795.91</v>
      </c>
      <c r="R37" s="8">
        <f>R31+R25+R34</f>
        <v>-8446.9650000000001</v>
      </c>
      <c r="S37" s="8">
        <f>S31+S25+S34</f>
        <v>-26927.82</v>
      </c>
      <c r="T37" s="8">
        <f>T31+T25+T34</f>
        <v>-600</v>
      </c>
      <c r="U37" s="8">
        <f>U31+U25+U34</f>
        <v>-14795.91</v>
      </c>
    </row>
    <row r="38" spans="1:21" ht="15.75" customHeight="1">
      <c r="A38" s="1"/>
      <c r="B38" s="1"/>
      <c r="C38" s="1"/>
      <c r="D38" s="1"/>
      <c r="E38" s="7"/>
      <c r="F38" s="7"/>
      <c r="G38" s="7"/>
      <c r="H38" s="46" t="s">
        <v>2</v>
      </c>
      <c r="I38" s="5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ht="15" customHeight="1">
      <c r="A39" s="1"/>
      <c r="B39" s="28" t="s">
        <v>31</v>
      </c>
      <c r="C39" s="25"/>
      <c r="D39" s="27"/>
      <c r="E39" s="6">
        <f>F9</f>
        <v>28828.13</v>
      </c>
      <c r="F39" s="6">
        <f>G9</f>
        <v>25956.860000000004</v>
      </c>
      <c r="G39" s="6">
        <f>H9</f>
        <v>56090.8</v>
      </c>
      <c r="H39" s="45">
        <f>I9</f>
        <v>59809.04</v>
      </c>
      <c r="I39" s="63">
        <f>I9+I22+I37</f>
        <v>58113.757988227851</v>
      </c>
      <c r="J39" s="6">
        <f>J9+J22+J37</f>
        <v>59000.500962801605</v>
      </c>
      <c r="K39" s="6">
        <f>K9+K22+K37</f>
        <v>77385.522379326052</v>
      </c>
      <c r="L39" s="6">
        <f>L9+L22+L37</f>
        <v>93773.754207204009</v>
      </c>
      <c r="M39" s="6">
        <f>M9+M22+M37</f>
        <v>106597.12555719545</v>
      </c>
      <c r="N39" s="6">
        <f>N9+N22+N37</f>
        <v>102662.98348656247</v>
      </c>
      <c r="O39" s="6">
        <f>O9+O22+O37</f>
        <v>101918.64431423732</v>
      </c>
      <c r="P39" s="6">
        <f>P9+P22+P37</f>
        <v>118441.47225830251</v>
      </c>
      <c r="Q39" s="6">
        <f>Q9+Q22+Q37</f>
        <v>131709.72303769458</v>
      </c>
      <c r="R39" s="6">
        <f>R9+R22+R37</f>
        <v>125984.49291997292</v>
      </c>
      <c r="S39" s="6">
        <f>S9+S22+S37</f>
        <v>123935.28803012864</v>
      </c>
      <c r="T39" s="6">
        <f>T9+T22+T37</f>
        <v>138968.36119622644</v>
      </c>
      <c r="U39" s="6">
        <f>U9+U22+U37</f>
        <v>149740.6271368298</v>
      </c>
    </row>
    <row r="40" spans="1:21" ht="15.75" customHeight="1">
      <c r="E40" s="14"/>
    </row>
    <row r="41" spans="1:21" ht="15.75" customHeight="1">
      <c r="E41" s="14"/>
    </row>
    <row r="42" spans="1:21" ht="15.75" customHeight="1">
      <c r="E42" s="14"/>
    </row>
    <row r="43" spans="1:21" ht="15.75" customHeight="1">
      <c r="E43" s="14"/>
    </row>
    <row r="44" spans="1:21" ht="15.75" customHeight="1">
      <c r="E44" s="14"/>
    </row>
    <row r="45" spans="1:21" ht="15.75" customHeight="1"/>
    <row r="46" spans="1:21" ht="15.75" customHeight="1"/>
    <row r="47" spans="1:21" ht="15.75" customHeight="1"/>
    <row r="48" spans="1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7">
    <mergeCell ref="B9:D9"/>
    <mergeCell ref="B11:D11"/>
    <mergeCell ref="C34:D34"/>
    <mergeCell ref="B37:D37"/>
    <mergeCell ref="B39:D39"/>
    <mergeCell ref="C12:D12"/>
    <mergeCell ref="C15:D15"/>
    <mergeCell ref="C18:D18"/>
    <mergeCell ref="B22:D22"/>
    <mergeCell ref="B24:D24"/>
    <mergeCell ref="C25:D25"/>
    <mergeCell ref="C31:D31"/>
    <mergeCell ref="B1:U3"/>
    <mergeCell ref="E5:H5"/>
    <mergeCell ref="I5:U5"/>
    <mergeCell ref="B6:D6"/>
    <mergeCell ref="B7:D7"/>
  </mergeCells>
  <conditionalFormatting sqref="I39:U39">
    <cfRule type="cellIs" dxfId="0" priority="1" operator="lessThan">
      <formula>$E$4</formula>
    </cfRule>
  </conditionalFormatting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 Week Cash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Montgomery</dc:creator>
  <cp:lastModifiedBy>Stephen Montgomery</cp:lastModifiedBy>
  <dcterms:created xsi:type="dcterms:W3CDTF">2025-01-08T23:22:48Z</dcterms:created>
  <dcterms:modified xsi:type="dcterms:W3CDTF">2026-02-24T23:49:18Z</dcterms:modified>
</cp:coreProperties>
</file>