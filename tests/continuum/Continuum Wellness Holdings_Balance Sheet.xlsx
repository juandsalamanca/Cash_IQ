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6" i="1" l="1"/>
</calcChain>
</file>

<file path=xl/sharedStrings.xml><?xml version="1.0" encoding="utf-8"?>
<sst xmlns="http://schemas.openxmlformats.org/spreadsheetml/2006/main" count="87" uniqueCount="87">
  <si>
    <t>Balance Sheet</t>
  </si>
  <si>
    <t>Continuum Wellness Holdings</t>
  </si>
  <si>
    <t>As of March 23, 2026</t>
  </si>
  <si>
    <t>Assets</t>
  </si>
  <si>
    <t>Current Assets</t>
  </si>
  <si>
    <t>Bank Accounts</t>
  </si>
  <si>
    <t>Amazon Credit</t>
  </si>
  <si>
    <t>Cash on hand</t>
  </si>
  <si>
    <t>Continuum W Club, LLC (7020) - JPM</t>
  </si>
  <si>
    <t>Continuum W Holdings, LLC (0561) - JPM</t>
  </si>
  <si>
    <t>Continuum W Technologies, LLC (2740) - JPM</t>
  </si>
  <si>
    <t>FRB - 60 White SPE</t>
  </si>
  <si>
    <t>FRB - Throne</t>
  </si>
  <si>
    <t>Total for Bank Accounts</t>
  </si>
  <si>
    <t>Accounts Receivable</t>
  </si>
  <si>
    <t>Accounts Receivable (A/R)</t>
  </si>
  <si>
    <t>Total for Accounts Receivable</t>
  </si>
  <si>
    <t>Other Current Assets</t>
  </si>
  <si>
    <t>18700 Deposits</t>
  </si>
  <si>
    <t>Due from Employees</t>
  </si>
  <si>
    <t>Prepaid Expenses</t>
  </si>
  <si>
    <t>Prepaid Insurance</t>
  </si>
  <si>
    <t>Undeposited Funds</t>
  </si>
  <si>
    <t>Total for Other Current Assets</t>
  </si>
  <si>
    <t>Total for Current Assets</t>
  </si>
  <si>
    <t>Fixed Assets</t>
  </si>
  <si>
    <t>15000 Furniture &amp; Fixtures</t>
  </si>
  <si>
    <t>16100 Electronic Equipment</t>
  </si>
  <si>
    <t>Accumulated Depreciation</t>
  </si>
  <si>
    <t>Accumulated Electronic Equipment Depreciation</t>
  </si>
  <si>
    <t>Accumulated Furniture &amp; Fixtures Depreciation</t>
  </si>
  <si>
    <t>Total for Accumulated Depreciation</t>
  </si>
  <si>
    <t>Organizational Costs</t>
  </si>
  <si>
    <t>Research &amp; Experimentation</t>
  </si>
  <si>
    <t>Start up Costs</t>
  </si>
  <si>
    <t>Tenant Improvement</t>
  </si>
  <si>
    <t>Accumulated Tenant Improvement Depreciation</t>
  </si>
  <si>
    <t>Tenant Improvements</t>
  </si>
  <si>
    <t>Total for Tenant Improvement</t>
  </si>
  <si>
    <t>Total for Fixed Assets</t>
  </si>
  <si>
    <t>Other Assets</t>
  </si>
  <si>
    <t>Intangible Asset</t>
  </si>
  <si>
    <t>Licenses</t>
  </si>
  <si>
    <t>Long Term Refundable Deposits</t>
  </si>
  <si>
    <t>Trademark - Continuum</t>
  </si>
  <si>
    <t>Trademark - Continuum Club</t>
  </si>
  <si>
    <t>Total for Other Assets</t>
  </si>
  <si>
    <t>Total for Assets</t>
  </si>
  <si>
    <t>Liabilities and Equity</t>
  </si>
  <si>
    <t>Liabilities</t>
  </si>
  <si>
    <t>Current Liabilities</t>
  </si>
  <si>
    <t>Accounts Payable</t>
  </si>
  <si>
    <t>20000 Accounts Payable (A/P)</t>
  </si>
  <si>
    <t>Total for Accounts Payable</t>
  </si>
  <si>
    <t>Credit Cards</t>
  </si>
  <si>
    <t>American Express</t>
  </si>
  <si>
    <t>Total for Credit Cards</t>
  </si>
  <si>
    <t>Other Current Liabilities</t>
  </si>
  <si>
    <t>24000 Payroll Liabilities</t>
  </si>
  <si>
    <t>401K Payable</t>
  </si>
  <si>
    <t>Commuter Benefits</t>
  </si>
  <si>
    <t>Total for 24000 Payroll Liabilities</t>
  </si>
  <si>
    <t>Accrued Expenses</t>
  </si>
  <si>
    <t>Deferred Revenue</t>
  </si>
  <si>
    <t>Note Payable</t>
  </si>
  <si>
    <t>Refundable Member Deposit</t>
  </si>
  <si>
    <t>Sales tax clearing</t>
  </si>
  <si>
    <t>Total for Other Current Liabilities</t>
  </si>
  <si>
    <t>Total for Current Liabilities</t>
  </si>
  <si>
    <t>Long-term Liabilities</t>
  </si>
  <si>
    <t>Deferred Tax</t>
  </si>
  <si>
    <t>Total for Long-term Liabilities</t>
  </si>
  <si>
    <t>Total for Liabilities</t>
  </si>
  <si>
    <t>Equity</t>
  </si>
  <si>
    <t>33100 Cave Mountain Capital</t>
  </si>
  <si>
    <t>33200 Jay Galluzo Capital</t>
  </si>
  <si>
    <t>Kevin Schwartz</t>
  </si>
  <si>
    <t>30900 Distributions - Kevin Schwartz</t>
  </si>
  <si>
    <t>31000 Contributions - Kevin Schwartz</t>
  </si>
  <si>
    <t>Total for Kevin Schwartz</t>
  </si>
  <si>
    <t>32000 Retained Earnings</t>
  </si>
  <si>
    <t>Net Income</t>
  </si>
  <si>
    <t>Total for Equity</t>
  </si>
  <si>
    <t>Total for Liabilities and Equity</t>
  </si>
  <si>
    <t>Distribution account</t>
  </si>
  <si>
    <t>Total</t>
  </si>
  <si>
    <t>Accrual Basis Monday, March 23, 2026 10:25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</si>
</sst>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0" fillId="0" borderId="0" xfId="0" applyAlignment="1">
      <alignment horizontal="left" indent="5"/>
    </xf>
    <xf numFmtId="0" fontId="3" fillId="0" borderId="0" xfId="0" applyFont="1" applyAlignment="1">
      <alignment horizontal="left" indent="5"/>
    </xf>
    <xf numFmtId="0" fontId="2" fillId="0" borderId="0" xfId="0" applyFont="1" applyAlignment="1">
      <alignment horizontal="left" indent="4"/>
    </xf>
    <xf numFmtId="0" fontId="4" fillId="0" borderId="0" xfId="0" applyFont="1" applyAlignment="1">
      <alignment horizontal="left" indent="4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5"/>
    </xf>
    <xf numFmtId="0" fontId="4" fillId="0" borderId="0" xfId="0" applyFont="1" applyAlignment="1">
      <alignment horizontal="left" wrapText="1" indent="4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90"/>
  <sheetViews>
    <sheetView tabSelected="1" workbookViewId="0" topLeftCell="A1"/>
  </sheetViews>
  <sheetFormatPr defaultColWidth="11.255" defaultRowHeight="16"/>
  <cols>
    <col min="1" max="1" width="39.25" style="51" customWidth="1"/>
    <col min="2" max="2" width="17" style="51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1:2" ht="16">
      <c r="A5" s="53" t="s">
        <v>84</v>
      </c>
      <c r="B5" s="53" t="s">
        <v>85</v>
      </c>
    </row>
    <row r="6" spans="1:1" ht="16">
      <c r="A6" s="40" t="s">
        <v>3</v>
      </c>
    </row>
    <row r="7" spans="1:1" ht="16">
      <c r="A7" s="41" t="s">
        <v>4</v>
      </c>
    </row>
    <row r="8" spans="1:1" ht="16">
      <c r="A8" s="42" t="s">
        <v>5</v>
      </c>
    </row>
    <row r="9" spans="1:2" ht="16">
      <c r="A9" s="43" t="s">
        <v>6</v>
      </c>
      <c r="B9" s="54">
        <v>-35.56</v>
      </c>
    </row>
    <row r="10" spans="1:2" ht="16">
      <c r="A10" s="43" t="s">
        <v>7</v>
      </c>
      <c r="B10" s="54">
        <v>0</v>
      </c>
    </row>
    <row r="11" spans="1:2" ht="16">
      <c r="A11" s="43" t="s">
        <v>8</v>
      </c>
      <c r="B11" s="54">
        <v>-6374.21</v>
      </c>
    </row>
    <row r="12" spans="1:2" ht="16">
      <c r="A12" s="43" t="s">
        <v>9</v>
      </c>
      <c r="B12" s="54">
        <v>2007160.57</v>
      </c>
    </row>
    <row r="13" spans="1:2" ht="16">
      <c r="A13" s="43" t="s">
        <v>10</v>
      </c>
      <c r="B13" s="54">
        <v>-7496.28</v>
      </c>
    </row>
    <row r="14" spans="1:2" ht="16">
      <c r="A14" s="43" t="s">
        <v>11</v>
      </c>
      <c r="B14" s="54">
        <v>0</v>
      </c>
    </row>
    <row r="15" spans="1:2" ht="16">
      <c r="A15" s="43" t="s">
        <v>12</v>
      </c>
      <c r="B15" s="54">
        <v>0</v>
      </c>
    </row>
    <row r="16" spans="1:2" ht="16">
      <c r="A16" s="44" t="s">
        <v>13</v>
      </c>
      <c r="B16" s="55">
        <f>B8+B9+B10+B11+B12+B13+B14+B15</f>
        <v>1993254.52</v>
      </c>
    </row>
    <row r="17" spans="1:1" ht="16">
      <c r="A17" s="42" t="s">
        <v>14</v>
      </c>
    </row>
    <row r="18" spans="1:2" ht="16">
      <c r="A18" s="43" t="s">
        <v>15</v>
      </c>
      <c r="B18" s="54">
        <v>3000.0</v>
      </c>
    </row>
    <row r="19" spans="1:2" ht="16">
      <c r="A19" s="44" t="s">
        <v>16</v>
      </c>
      <c r="B19" s="55">
        <f>B17+B18</f>
        <v>3000.0</v>
      </c>
    </row>
    <row r="20" spans="1:1" ht="16">
      <c r="A20" s="42" t="s">
        <v>17</v>
      </c>
    </row>
    <row r="21" spans="1:2" ht="16">
      <c r="A21" s="43" t="s">
        <v>18</v>
      </c>
      <c r="B21" s="54">
        <v>-4500.0</v>
      </c>
    </row>
    <row r="22" spans="1:2" ht="16">
      <c r="A22" s="43" t="s">
        <v>19</v>
      </c>
      <c r="B22" s="54">
        <v>0</v>
      </c>
    </row>
    <row r="23" spans="1:2" ht="16">
      <c r="A23" s="43" t="s">
        <v>20</v>
      </c>
      <c r="B23" s="54">
        <v>49497.7</v>
      </c>
    </row>
    <row r="24" spans="1:2" ht="16">
      <c r="A24" s="43" t="s">
        <v>21</v>
      </c>
      <c r="B24" s="54">
        <v>11460.39</v>
      </c>
    </row>
    <row r="25" spans="1:2" ht="16">
      <c r="A25" s="43" t="s">
        <v>22</v>
      </c>
      <c r="B25" s="54">
        <v>6642.83</v>
      </c>
    </row>
    <row r="26" spans="1:2" ht="16">
      <c r="A26" s="44" t="s">
        <v>23</v>
      </c>
      <c r="B26" s="55">
        <f>B20+B21+B22+B23+B24+B25</f>
        <v>63100.92</v>
      </c>
    </row>
    <row r="27" spans="1:2" ht="16">
      <c r="A27" s="45" t="s">
        <v>24</v>
      </c>
      <c r="B27" s="55">
        <f>B7+B16+B19+B26</f>
        <v>2059355.44</v>
      </c>
    </row>
    <row r="28" spans="1:1" ht="16">
      <c r="A28" s="41" t="s">
        <v>25</v>
      </c>
    </row>
    <row r="29" spans="1:2" ht="16">
      <c r="A29" s="42" t="s">
        <v>26</v>
      </c>
      <c r="B29" s="54">
        <v>1179691.71</v>
      </c>
    </row>
    <row r="30" spans="1:2" ht="16">
      <c r="A30" s="42" t="s">
        <v>27</v>
      </c>
      <c r="B30" s="54">
        <v>17189.95</v>
      </c>
    </row>
    <row r="31" spans="1:2" ht="16">
      <c r="A31" s="42" t="s">
        <v>28</v>
      </c>
      <c r="B31" s="56"/>
    </row>
    <row r="32" spans="1:2" ht="16">
      <c r="A32" s="43" t="s">
        <v>29</v>
      </c>
      <c r="B32" s="54">
        <v>-1607.81</v>
      </c>
    </row>
    <row r="33" spans="1:2" ht="16">
      <c r="A33" s="43" t="s">
        <v>30</v>
      </c>
      <c r="B33" s="54">
        <v>-314156.31</v>
      </c>
    </row>
    <row r="34" spans="1:2" ht="16">
      <c r="A34" s="44" t="s">
        <v>31</v>
      </c>
      <c r="B34" s="55">
        <f>B31+B32+B33</f>
        <v>-315764.12</v>
      </c>
    </row>
    <row r="35" spans="1:2" ht="16">
      <c r="A35" s="42" t="s">
        <v>32</v>
      </c>
      <c r="B35" s="54">
        <v>0</v>
      </c>
    </row>
    <row r="36" spans="1:2" ht="16">
      <c r="A36" s="42" t="s">
        <v>33</v>
      </c>
      <c r="B36" s="54">
        <v>0</v>
      </c>
    </row>
    <row r="37" spans="1:2" ht="16">
      <c r="A37" s="42" t="s">
        <v>34</v>
      </c>
      <c r="B37" s="54">
        <v>0</v>
      </c>
    </row>
    <row r="38" spans="1:2" ht="16">
      <c r="A38" s="42" t="s">
        <v>35</v>
      </c>
      <c r="B38" s="56"/>
    </row>
    <row r="39" spans="1:2" ht="16">
      <c r="A39" s="43" t="s">
        <v>36</v>
      </c>
      <c r="B39" s="54">
        <v>-719209.05</v>
      </c>
    </row>
    <row r="40" spans="1:2" ht="16">
      <c r="A40" s="43" t="s">
        <v>37</v>
      </c>
      <c r="B40" s="54">
        <v>3528794.35</v>
      </c>
    </row>
    <row r="41" spans="1:2" ht="16">
      <c r="A41" s="44" t="s">
        <v>38</v>
      </c>
      <c r="B41" s="55">
        <f>B38+B39+B40</f>
        <v>2809585.3</v>
      </c>
    </row>
    <row r="42" spans="1:2" ht="16">
      <c r="A42" s="45" t="s">
        <v>39</v>
      </c>
      <c r="B42" s="55">
        <f>B28+B29+B30+B34+B35+B36+B37+B41</f>
        <v>3690702.84</v>
      </c>
    </row>
    <row r="43" spans="1:1" ht="16">
      <c r="A43" s="41" t="s">
        <v>40</v>
      </c>
    </row>
    <row r="44" spans="1:2" ht="16">
      <c r="A44" s="42" t="s">
        <v>41</v>
      </c>
      <c r="B44" s="54">
        <v>17071.19</v>
      </c>
    </row>
    <row r="45" spans="1:2" ht="16">
      <c r="A45" s="42" t="s">
        <v>42</v>
      </c>
      <c r="B45" s="54">
        <v>225000.0</v>
      </c>
    </row>
    <row r="46" spans="1:2" ht="16">
      <c r="A46" s="42" t="s">
        <v>43</v>
      </c>
      <c r="B46" s="54">
        <v>0</v>
      </c>
    </row>
    <row r="47" spans="1:2" ht="16">
      <c r="A47" s="42" t="s">
        <v>44</v>
      </c>
      <c r="B47" s="54">
        <v>2375.0</v>
      </c>
    </row>
    <row r="48" spans="1:2" ht="16">
      <c r="A48" s="42" t="s">
        <v>45</v>
      </c>
      <c r="B48" s="54">
        <v>2375.0</v>
      </c>
    </row>
    <row r="49" spans="1:2" ht="16">
      <c r="A49" s="45" t="s">
        <v>46</v>
      </c>
      <c r="B49" s="55">
        <f>B43+B44+B45+B46+B47+B48</f>
        <v>246821.19</v>
      </c>
    </row>
    <row r="50" spans="1:2" ht="16">
      <c r="A50" s="46" t="s">
        <v>47</v>
      </c>
      <c r="B50" s="55">
        <f>B27+B42+B49</f>
        <v>5996879.47</v>
      </c>
    </row>
    <row r="51" spans="1:1" ht="16">
      <c r="A51" s="40" t="s">
        <v>48</v>
      </c>
    </row>
    <row r="52" spans="1:1" ht="16">
      <c r="A52" s="41" t="s">
        <v>49</v>
      </c>
    </row>
    <row r="53" spans="1:1" ht="16">
      <c r="A53" s="42" t="s">
        <v>50</v>
      </c>
    </row>
    <row r="54" spans="1:1" ht="16">
      <c r="A54" s="43" t="s">
        <v>51</v>
      </c>
    </row>
    <row r="55" spans="1:2" ht="16">
      <c r="A55" s="47" t="s">
        <v>52</v>
      </c>
      <c r="B55" s="54">
        <v>7428.29</v>
      </c>
    </row>
    <row r="56" spans="1:2" ht="16">
      <c r="A56" s="48" t="s">
        <v>53</v>
      </c>
      <c r="B56" s="55">
        <f>B54+B55</f>
        <v>7428.29</v>
      </c>
    </row>
    <row r="57" spans="1:1" ht="16">
      <c r="A57" s="43" t="s">
        <v>54</v>
      </c>
    </row>
    <row r="58" spans="1:2" ht="16">
      <c r="A58" s="47" t="s">
        <v>55</v>
      </c>
      <c r="B58" s="54">
        <v>-56961.08</v>
      </c>
    </row>
    <row r="59" spans="1:2" ht="16">
      <c r="A59" s="48" t="s">
        <v>56</v>
      </c>
      <c r="B59" s="55">
        <f>B57+B58</f>
        <v>-56961.08</v>
      </c>
    </row>
    <row r="60" spans="1:1" ht="16">
      <c r="A60" s="43" t="s">
        <v>57</v>
      </c>
    </row>
    <row r="61" spans="1:2" ht="16">
      <c r="A61" s="47" t="s">
        <v>58</v>
      </c>
      <c r="B61" s="56"/>
    </row>
    <row r="62" spans="1:2" ht="16">
      <c r="A62" s="49" t="s">
        <v>59</v>
      </c>
      <c r="B62" s="54">
        <v>1335.32</v>
      </c>
    </row>
    <row r="63" spans="1:2" ht="16">
      <c r="A63" s="49" t="s">
        <v>60</v>
      </c>
      <c r="B63" s="54">
        <v>907.84</v>
      </c>
    </row>
    <row r="64" spans="1:2" ht="16">
      <c r="A64" s="50" t="s">
        <v>61</v>
      </c>
      <c r="B64" s="55">
        <f>B61+B62+B63</f>
        <v>2243.16</v>
      </c>
    </row>
    <row r="65" spans="1:2" ht="16">
      <c r="A65" s="47" t="s">
        <v>62</v>
      </c>
      <c r="B65" s="54">
        <v>13998.96</v>
      </c>
    </row>
    <row r="66" spans="1:2" ht="16">
      <c r="A66" s="47" t="s">
        <v>63</v>
      </c>
      <c r="B66" s="54">
        <v>700504.03</v>
      </c>
    </row>
    <row r="67" spans="1:2" ht="16">
      <c r="A67" s="47" t="s">
        <v>64</v>
      </c>
      <c r="B67" s="54">
        <v>0</v>
      </c>
    </row>
    <row r="68" spans="1:2" ht="16">
      <c r="A68" s="47" t="s">
        <v>65</v>
      </c>
      <c r="B68" s="54">
        <v>3500.0</v>
      </c>
    </row>
    <row r="69" spans="1:2" ht="16">
      <c r="A69" s="47" t="s">
        <v>66</v>
      </c>
      <c r="B69" s="54">
        <v>-17444.85</v>
      </c>
    </row>
    <row r="70" spans="1:2" ht="16">
      <c r="A70" s="48" t="s">
        <v>67</v>
      </c>
      <c r="B70" s="55">
        <f>B60+B64+B65+B66+B67+B68+B69</f>
        <v>702801.3</v>
      </c>
    </row>
    <row r="71" spans="1:2" ht="16">
      <c r="A71" s="44" t="s">
        <v>68</v>
      </c>
      <c r="B71" s="55">
        <f>B53+B56+B59+B70</f>
        <v>653268.51</v>
      </c>
    </row>
    <row r="72" spans="1:1" ht="16">
      <c r="A72" s="42" t="s">
        <v>69</v>
      </c>
    </row>
    <row r="73" spans="1:2" ht="16">
      <c r="A73" s="43" t="s">
        <v>70</v>
      </c>
      <c r="B73" s="54">
        <v>20255.05</v>
      </c>
    </row>
    <row r="74" spans="1:2" ht="16">
      <c r="A74" s="44" t="s">
        <v>71</v>
      </c>
      <c r="B74" s="55">
        <f>B72+B73</f>
        <v>20255.05</v>
      </c>
    </row>
    <row r="75" spans="1:2" ht="16">
      <c r="A75" s="45" t="s">
        <v>72</v>
      </c>
      <c r="B75" s="55">
        <f>B52+B71+B74</f>
        <v>673523.56</v>
      </c>
    </row>
    <row r="76" spans="1:1" ht="16">
      <c r="A76" s="41" t="s">
        <v>73</v>
      </c>
    </row>
    <row r="77" spans="1:2" ht="16">
      <c r="A77" s="42" t="s">
        <v>74</v>
      </c>
      <c r="B77" s="54">
        <v>2000000.0</v>
      </c>
    </row>
    <row r="78" spans="1:2" ht="16">
      <c r="A78" s="42" t="s">
        <v>75</v>
      </c>
      <c r="B78" s="54">
        <v>200000.0</v>
      </c>
    </row>
    <row r="79" spans="1:2" ht="16">
      <c r="A79" s="42" t="s">
        <v>76</v>
      </c>
      <c r="B79" s="56"/>
    </row>
    <row r="80" spans="1:2" ht="16">
      <c r="A80" s="43" t="s">
        <v>77</v>
      </c>
      <c r="B80" s="54">
        <v>-11537.15</v>
      </c>
    </row>
    <row r="81" spans="1:2" ht="16">
      <c r="A81" s="43" t="s">
        <v>78</v>
      </c>
      <c r="B81" s="54">
        <v>1.975E7</v>
      </c>
    </row>
    <row r="82" spans="1:2" ht="16">
      <c r="A82" s="44" t="s">
        <v>79</v>
      </c>
      <c r="B82" s="55">
        <f>B79+B80+B81</f>
        <v>1.973846285E7</v>
      </c>
    </row>
    <row r="83" spans="1:2" ht="16">
      <c r="A83" s="42" t="s">
        <v>80</v>
      </c>
      <c r="B83" s="54">
        <v>-1.5806428079999994E7</v>
      </c>
    </row>
    <row r="84" spans="1:2" ht="16">
      <c r="A84" s="42" t="s">
        <v>81</v>
      </c>
      <c r="B84" s="54">
        <v>-808678.86</v>
      </c>
    </row>
    <row r="85" spans="1:2" ht="16">
      <c r="A85" s="45" t="s">
        <v>82</v>
      </c>
      <c r="B85" s="55">
        <f>B76+B77+B78+B82+B83+B84</f>
        <v>5323355.910000007</v>
      </c>
    </row>
    <row r="86" spans="1:2" ht="16">
      <c r="A86" s="46" t="s">
        <v>83</v>
      </c>
      <c r="B86" s="55">
        <f>B75+B85</f>
        <v>5996879.470000006</v>
      </c>
    </row>
    <row r="90" spans="1:1" ht="16">
      <c r="A90" s="57" t="s">
        <v>86</v>
      </c>
    </row>
  </sheetData>
  <mergeCells count="4">
    <mergeCell ref="A1:B1"/>
    <mergeCell ref="A2:B2"/>
    <mergeCell ref="A3:B3"/>
    <mergeCell ref="A90:B9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