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</calcChain>
</file>

<file path=xl/sharedStrings.xml><?xml version="1.0" encoding="utf-8"?>
<sst xmlns="http://schemas.openxmlformats.org/spreadsheetml/2006/main" count="109" uniqueCount="69">
  <si>
    <t>A/P Aging Detail Report</t>
  </si>
  <si>
    <t>91 or more days past due</t>
  </si>
  <si>
    <t>08/09/2024</t>
  </si>
  <si>
    <t>Bill</t>
  </si>
  <si>
    <t>001</t>
  </si>
  <si>
    <t>CloudOps SRL</t>
  </si>
  <si>
    <t/>
  </si>
  <si>
    <t>08/19/2024</t>
  </si>
  <si>
    <t>12/31/2024</t>
  </si>
  <si>
    <t>Journal Entry</t>
  </si>
  <si>
    <t>Dec member</t>
  </si>
  <si>
    <t>Square</t>
  </si>
  <si>
    <t>01/30/2025</t>
  </si>
  <si>
    <t>January 2026 Prepaid</t>
  </si>
  <si>
    <t>RSI Security</t>
  </si>
  <si>
    <t>11/12/2025</t>
  </si>
  <si>
    <t>CONTINUUM-Nov-2025-02</t>
  </si>
  <si>
    <t>Human UG</t>
  </si>
  <si>
    <t>12/23/2025</t>
  </si>
  <si>
    <t>Bill Payment (Check)</t>
  </si>
  <si>
    <t>ACH</t>
  </si>
  <si>
    <t>COAT Construction</t>
  </si>
  <si>
    <t>Total for 91 or more days past due</t>
  </si>
  <si>
    <t>61 - 90 days past due</t>
  </si>
  <si>
    <t>01/07/2026</t>
  </si>
  <si>
    <t>Deposit</t>
  </si>
  <si>
    <t>Total for 61 - 90 days past due</t>
  </si>
  <si>
    <t>1 - 30 days past due</t>
  </si>
  <si>
    <t>03/15/2026</t>
  </si>
  <si>
    <t>1614749</t>
  </si>
  <si>
    <t>WithumSmith + Brown, PC</t>
  </si>
  <si>
    <t>03/01/2026</t>
  </si>
  <si>
    <t>I3148</t>
  </si>
  <si>
    <t>Chek Creative LLC</t>
  </si>
  <si>
    <t>03/16/2026</t>
  </si>
  <si>
    <t>I3155</t>
  </si>
  <si>
    <t>02/17/2026</t>
  </si>
  <si>
    <t>1223735</t>
  </si>
  <si>
    <t>OKA-b</t>
  </si>
  <si>
    <t>03/19/2026</t>
  </si>
  <si>
    <t>03/23/2026</t>
  </si>
  <si>
    <t>13527</t>
  </si>
  <si>
    <t>Filpo Pool Services LLC</t>
  </si>
  <si>
    <t>03/26/2026</t>
  </si>
  <si>
    <t>The Hartford</t>
  </si>
  <si>
    <t>03/29/2026</t>
  </si>
  <si>
    <t>Total for 1 - 30 days past due</t>
  </si>
  <si>
    <t>CURRENT</t>
  </si>
  <si>
    <t>03/02/2026</t>
  </si>
  <si>
    <t>11593</t>
  </si>
  <si>
    <t>Global Threat Solutions LLC</t>
  </si>
  <si>
    <t>04/01/2026</t>
  </si>
  <si>
    <t>03/27/2026</t>
  </si>
  <si>
    <t>011</t>
  </si>
  <si>
    <t>Sarah Kiernan</t>
  </si>
  <si>
    <t>04/11/2026</t>
  </si>
  <si>
    <t>11868</t>
  </si>
  <si>
    <t>04/22/2026</t>
  </si>
  <si>
    <t>Total for CURRENT</t>
  </si>
  <si>
    <t>TOTAL</t>
  </si>
  <si>
    <t>Date</t>
  </si>
  <si>
    <t>Transaction type</t>
  </si>
  <si>
    <t>Num</t>
  </si>
  <si>
    <t>Vendor display name</t>
  </si>
  <si>
    <t>Location full name</t>
  </si>
  <si>
    <t>Due date</t>
  </si>
  <si>
    <t>Past due</t>
  </si>
  <si>
    <t>Amount</t>
  </si>
  <si>
    <t>Open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</si>
</sst>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7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2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78" fontId="0" fillId="0" borderId="0" xfId="0" applyNumberFormat="1"/>
    <xf numFmtId="178" fontId="4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3" fillId="0" borderId="2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2" fillId="0" borderId="1" xfId="20">
      <alignment/>
      <protection/>
    </xf>
    <xf numFmtId="0" fontId="6" fillId="0" borderId="1" xfId="20" applyFont="1">
      <alignment/>
      <protection/>
    </xf>
    <xf numFmtId="0" fontId="6" fillId="0" borderId="1" xfId="20" applyFont="1" applyAlignment="1">
      <alignment wrapText="1"/>
      <protection/>
    </xf>
    <xf numFmtId="0" fontId="4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1" xfId="20" applyFont="1" applyBorder="1" applyAlignment="1">
      <alignment wrapText="1"/>
      <protection/>
    </xf>
    <xf numFmtId="0" fontId="6" fillId="0" borderId="1" xfId="20" applyFont="1" applyBorder="1" applyAlignment="1">
      <alignment horizontal="center" wrapText="1"/>
      <protection/>
    </xf>
    <xf numFmtId="178" fontId="4" fillId="0" borderId="0" xfId="0" applyNumberFormat="1" applyFont="1" applyAlignment="1">
      <alignment wrapText="1"/>
    </xf>
    <xf numFmtId="177" fontId="3" fillId="0" borderId="2" xfId="0" applyNumberFormat="1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27"/>
  <sheetViews>
    <sheetView tabSelected="1" workbookViewId="0" topLeftCell="A1"/>
  </sheetViews>
  <sheetFormatPr defaultColWidth="11.255" defaultRowHeight="16"/>
  <cols>
    <col min="1" max="1" width="29.875" style="21" customWidth="1"/>
    <col min="2" max="2" width="9.25" style="21" customWidth="1"/>
    <col min="3" max="3" width="17.875" style="21" customWidth="1"/>
    <col min="4" max="4" width="18.625" style="21" customWidth="1"/>
    <col min="5" max="5" width="23.875" style="21" customWidth="1"/>
    <col min="6" max="6" width="16.125" style="21" customWidth="1"/>
    <col min="7" max="7" width="9.25" style="21" customWidth="1"/>
    <col min="8" max="9" width="7.5" style="21" customWidth="1"/>
    <col min="10" max="10" width="16.125" style="21" customWidth="1"/>
  </cols>
  <sheetData>
    <row r="1" spans="1:1" ht="16">
      <c r="A1" s="26" t="s">
        <v>0</v>
      </c>
    </row>
    <row r="3" spans="2:10" ht="16">
      <c r="B3" s="23" t="s">
        <v>60</v>
      </c>
      <c r="C3" s="23" t="s">
        <v>61</v>
      </c>
      <c r="D3" s="23" t="s">
        <v>62</v>
      </c>
      <c r="E3" s="23" t="s">
        <v>63</v>
      </c>
      <c r="F3" s="23" t="s">
        <v>64</v>
      </c>
      <c r="G3" s="23" t="s">
        <v>65</v>
      </c>
      <c r="H3" s="23" t="s">
        <v>66</v>
      </c>
      <c r="I3" s="23" t="s">
        <v>67</v>
      </c>
      <c r="J3" s="23" t="s">
        <v>68</v>
      </c>
    </row>
    <row r="4" spans="1:1" ht="16">
      <c r="A4" s="27" t="s">
        <v>1</v>
      </c>
    </row>
    <row r="5" spans="2:10" ht="16">
      <c r="B5" s="19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>
        <v>588.0</v>
      </c>
      <c r="I5" s="24">
        <v>1000.0</v>
      </c>
      <c r="J5" s="24">
        <v>1000.0</v>
      </c>
    </row>
    <row r="6" spans="2:10" ht="16">
      <c r="B6" s="19" t="s">
        <v>8</v>
      </c>
      <c r="C6" s="19" t="s">
        <v>9</v>
      </c>
      <c r="D6" s="19" t="s">
        <v>10</v>
      </c>
      <c r="E6" s="19" t="s">
        <v>11</v>
      </c>
      <c r="F6" s="19" t="s">
        <v>6</v>
      </c>
      <c r="G6" s="19" t="s">
        <v>8</v>
      </c>
      <c r="H6" s="19">
        <v>454.0</v>
      </c>
      <c r="I6" s="24">
        <v>-316.0</v>
      </c>
      <c r="J6" s="24">
        <v>-316.0</v>
      </c>
    </row>
    <row r="7" spans="2:10" ht="16">
      <c r="B7" s="19" t="s">
        <v>12</v>
      </c>
      <c r="C7" s="19" t="s">
        <v>9</v>
      </c>
      <c r="D7" s="19" t="s">
        <v>13</v>
      </c>
      <c r="E7" s="19" t="s">
        <v>14</v>
      </c>
      <c r="F7" s="19" t="s">
        <v>6</v>
      </c>
      <c r="G7" s="19" t="s">
        <v>12</v>
      </c>
      <c r="H7" s="19">
        <v>424.0</v>
      </c>
      <c r="I7" s="24">
        <v>1685.0</v>
      </c>
      <c r="J7" s="24">
        <v>1685.0</v>
      </c>
    </row>
    <row r="8" spans="2:10" ht="16">
      <c r="B8" s="19" t="s">
        <v>15</v>
      </c>
      <c r="C8" s="19" t="s">
        <v>3</v>
      </c>
      <c r="D8" s="19" t="s">
        <v>16</v>
      </c>
      <c r="E8" s="19" t="s">
        <v>17</v>
      </c>
      <c r="F8" s="19" t="s">
        <v>6</v>
      </c>
      <c r="G8" s="19" t="s">
        <v>15</v>
      </c>
      <c r="H8" s="19">
        <v>138.0</v>
      </c>
      <c r="I8" s="24">
        <v>37667.0</v>
      </c>
      <c r="J8" s="24">
        <v>1.99</v>
      </c>
    </row>
    <row r="9" spans="2:10" ht="16">
      <c r="B9" s="19" t="s">
        <v>18</v>
      </c>
      <c r="C9" s="19" t="s">
        <v>19</v>
      </c>
      <c r="D9" s="19" t="s">
        <v>20</v>
      </c>
      <c r="E9" s="19" t="s">
        <v>21</v>
      </c>
      <c r="F9" s="19" t="s">
        <v>6</v>
      </c>
      <c r="G9" s="19" t="s">
        <v>18</v>
      </c>
      <c r="H9" s="19">
        <v>97.0</v>
      </c>
      <c r="I9" s="24">
        <v>-1000.0</v>
      </c>
      <c r="J9" s="24">
        <v>-830.0</v>
      </c>
    </row>
    <row r="10" spans="1:10" ht="16">
      <c r="A10" s="28" t="s">
        <v>22</v>
      </c>
      <c r="I10" s="25">
        <f>I5+I6+I7+I8+I9</f>
        <v>39036.0</v>
      </c>
      <c r="J10" s="25">
        <f>J5+J6+J7+J8+J9</f>
        <v>1540.9899999999998</v>
      </c>
    </row>
    <row r="11" spans="1:1" ht="16">
      <c r="A11" s="27" t="s">
        <v>23</v>
      </c>
    </row>
    <row r="12" spans="2:10" ht="16">
      <c r="B12" s="19" t="s">
        <v>24</v>
      </c>
      <c r="C12" s="19" t="s">
        <v>25</v>
      </c>
      <c r="D12" s="19" t="s">
        <v>6</v>
      </c>
      <c r="E12" s="19" t="s">
        <v>21</v>
      </c>
      <c r="F12" s="19" t="s">
        <v>6</v>
      </c>
      <c r="G12" s="19" t="s">
        <v>24</v>
      </c>
      <c r="H12" s="19">
        <v>82.0</v>
      </c>
      <c r="I12" s="24">
        <v>840.0</v>
      </c>
      <c r="J12" s="24">
        <v>840.0</v>
      </c>
    </row>
    <row r="13" spans="1:10" ht="16">
      <c r="A13" s="28" t="s">
        <v>26</v>
      </c>
      <c r="I13" s="25">
        <f>I12</f>
        <v>840.0</v>
      </c>
      <c r="J13" s="25">
        <f>J12</f>
        <v>840.0</v>
      </c>
    </row>
    <row r="14" spans="1:1" ht="16">
      <c r="A14" s="27" t="s">
        <v>27</v>
      </c>
    </row>
    <row r="15" spans="2:10" ht="16">
      <c r="B15" s="19" t="s">
        <v>28</v>
      </c>
      <c r="C15" s="19" t="s">
        <v>3</v>
      </c>
      <c r="D15" s="19" t="s">
        <v>29</v>
      </c>
      <c r="E15" s="19" t="s">
        <v>30</v>
      </c>
      <c r="F15" s="19" t="s">
        <v>6</v>
      </c>
      <c r="G15" s="19" t="s">
        <v>28</v>
      </c>
      <c r="H15" s="19">
        <v>15.0</v>
      </c>
      <c r="I15" s="24">
        <v>1050.0</v>
      </c>
      <c r="J15" s="24">
        <v>1050.0</v>
      </c>
    </row>
    <row r="16" spans="2:10" ht="16">
      <c r="B16" s="19" t="s">
        <v>31</v>
      </c>
      <c r="C16" s="19" t="s">
        <v>3</v>
      </c>
      <c r="D16" s="19" t="s">
        <v>32</v>
      </c>
      <c r="E16" s="19" t="s">
        <v>33</v>
      </c>
      <c r="F16" s="19" t="s">
        <v>6</v>
      </c>
      <c r="G16" s="19" t="s">
        <v>34</v>
      </c>
      <c r="H16" s="19">
        <v>14.0</v>
      </c>
      <c r="I16" s="24">
        <v>1100.0</v>
      </c>
      <c r="J16" s="24">
        <v>1100.0</v>
      </c>
    </row>
    <row r="17" spans="2:10" ht="16">
      <c r="B17" s="19" t="s">
        <v>31</v>
      </c>
      <c r="C17" s="19" t="s">
        <v>3</v>
      </c>
      <c r="D17" s="19" t="s">
        <v>35</v>
      </c>
      <c r="E17" s="19" t="s">
        <v>33</v>
      </c>
      <c r="F17" s="19" t="s">
        <v>6</v>
      </c>
      <c r="G17" s="19" t="s">
        <v>34</v>
      </c>
      <c r="H17" s="19">
        <v>14.0</v>
      </c>
      <c r="I17" s="24">
        <v>1000.0</v>
      </c>
      <c r="J17" s="24">
        <v>1000.0</v>
      </c>
    </row>
    <row r="18" spans="2:10" ht="16">
      <c r="B18" s="19" t="s">
        <v>36</v>
      </c>
      <c r="C18" s="19" t="s">
        <v>3</v>
      </c>
      <c r="D18" s="19" t="s">
        <v>37</v>
      </c>
      <c r="E18" s="19" t="s">
        <v>38</v>
      </c>
      <c r="F18" s="19" t="s">
        <v>6</v>
      </c>
      <c r="G18" s="19" t="s">
        <v>39</v>
      </c>
      <c r="H18" s="19">
        <v>11.0</v>
      </c>
      <c r="I18" s="24">
        <v>119.77</v>
      </c>
      <c r="J18" s="24">
        <v>119.77</v>
      </c>
    </row>
    <row r="19" spans="2:10" ht="16">
      <c r="B19" s="19" t="s">
        <v>40</v>
      </c>
      <c r="C19" s="19" t="s">
        <v>3</v>
      </c>
      <c r="D19" s="19" t="s">
        <v>41</v>
      </c>
      <c r="E19" s="19" t="s">
        <v>42</v>
      </c>
      <c r="F19" s="19" t="s">
        <v>6</v>
      </c>
      <c r="G19" s="19" t="s">
        <v>40</v>
      </c>
      <c r="H19" s="19">
        <v>7.0</v>
      </c>
      <c r="I19" s="24">
        <v>381.06</v>
      </c>
      <c r="J19" s="24">
        <v>381.06</v>
      </c>
    </row>
    <row r="20" spans="2:10" ht="16">
      <c r="B20" s="19" t="s">
        <v>43</v>
      </c>
      <c r="C20" s="19" t="s">
        <v>3</v>
      </c>
      <c r="D20" s="19" t="s">
        <v>6</v>
      </c>
      <c r="E20" s="19" t="s">
        <v>44</v>
      </c>
      <c r="F20" s="19" t="s">
        <v>6</v>
      </c>
      <c r="G20" s="19" t="s">
        <v>45</v>
      </c>
      <c r="H20" s="19">
        <v>1.0</v>
      </c>
      <c r="I20" s="24">
        <v>2227.94</v>
      </c>
      <c r="J20" s="24">
        <v>2227.94</v>
      </c>
    </row>
    <row r="21" spans="1:10" ht="16">
      <c r="A21" s="28" t="s">
        <v>46</v>
      </c>
      <c r="I21" s="25">
        <f>I15+I16+I17+I18+I19+I20</f>
        <v>5878.77</v>
      </c>
      <c r="J21" s="25">
        <f>J15+J16+J17+J18+J19+J20</f>
        <v>5878.77</v>
      </c>
    </row>
    <row r="22" spans="1:1" ht="16">
      <c r="A22" s="27" t="s">
        <v>47</v>
      </c>
    </row>
    <row r="23" spans="2:10" ht="16">
      <c r="B23" s="19" t="s">
        <v>48</v>
      </c>
      <c r="C23" s="19" t="s">
        <v>3</v>
      </c>
      <c r="D23" s="19" t="s">
        <v>49</v>
      </c>
      <c r="E23" s="19" t="s">
        <v>50</v>
      </c>
      <c r="F23" s="19" t="s">
        <v>6</v>
      </c>
      <c r="G23" s="19" t="s">
        <v>51</v>
      </c>
      <c r="H23" s="19">
        <v>-2.0</v>
      </c>
      <c r="I23" s="24">
        <v>1362.69</v>
      </c>
      <c r="J23" s="24">
        <v>1362.69</v>
      </c>
    </row>
    <row r="24" spans="2:10" ht="16">
      <c r="B24" s="19" t="s">
        <v>52</v>
      </c>
      <c r="C24" s="19" t="s">
        <v>3</v>
      </c>
      <c r="D24" s="19" t="s">
        <v>53</v>
      </c>
      <c r="E24" s="19" t="s">
        <v>54</v>
      </c>
      <c r="F24" s="19" t="s">
        <v>6</v>
      </c>
      <c r="G24" s="19" t="s">
        <v>55</v>
      </c>
      <c r="H24" s="19">
        <v>-12.0</v>
      </c>
      <c r="I24" s="24">
        <v>10625.0</v>
      </c>
      <c r="J24" s="24">
        <v>10625.0</v>
      </c>
    </row>
    <row r="25" spans="2:10" ht="16">
      <c r="B25" s="19" t="s">
        <v>40</v>
      </c>
      <c r="C25" s="19" t="s">
        <v>3</v>
      </c>
      <c r="D25" s="19" t="s">
        <v>56</v>
      </c>
      <c r="E25" s="19" t="s">
        <v>50</v>
      </c>
      <c r="F25" s="19" t="s">
        <v>6</v>
      </c>
      <c r="G25" s="19" t="s">
        <v>57</v>
      </c>
      <c r="H25" s="19">
        <v>-23.0</v>
      </c>
      <c r="I25" s="24">
        <v>2243.34</v>
      </c>
      <c r="J25" s="24">
        <v>2243.34</v>
      </c>
    </row>
    <row r="26" spans="1:10" ht="16">
      <c r="A26" s="28" t="s">
        <v>58</v>
      </c>
      <c r="I26" s="25">
        <f>I23+I24+I25</f>
        <v>14231.03</v>
      </c>
      <c r="J26" s="25">
        <f>J23+J24+J25</f>
        <v>14231.03</v>
      </c>
    </row>
    <row r="27" spans="2:10" ht="16">
      <c r="B27" s="20" t="s">
        <v>59</v>
      </c>
      <c r="I27" s="25">
        <v>59985.8</v>
      </c>
      <c r="J27" s="25">
        <v>22490.79</v>
      </c>
    </row>
  </sheetData>
  <mergeCells count="1">
    <mergeCell ref="A1:I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