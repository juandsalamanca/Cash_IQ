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6th" sheetId="1" r:id="rId4"/>
  </sheets>
  <definedNames/>
  <calcPr/>
  <extLst>
    <ext uri="GoogleSheetsCustomDataVersion2">
      <go:sheetsCustomData xmlns:go="http://customooxmlschemas.google.com/" r:id="rId5" roundtripDataChecksum="fKnz6W9gBfaEm1rHL5pD7vbC5CMo6gBL2E2qbhC2lVY="/>
    </ext>
  </extLst>
</workbook>
</file>

<file path=xl/sharedStrings.xml><?xml version="1.0" encoding="utf-8"?>
<sst xmlns="http://schemas.openxmlformats.org/spreadsheetml/2006/main" count="80" uniqueCount="67">
  <si>
    <t>13 Week Cash Flow Forcast</t>
  </si>
  <si>
    <t>Cash Floor</t>
  </si>
  <si>
    <t> </t>
  </si>
  <si>
    <t>Previous 4 Weeks</t>
  </si>
  <si>
    <t>13 Week Projections</t>
  </si>
  <si>
    <t>Date at Start of Week</t>
  </si>
  <si>
    <t>Week Number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</si>
  <si>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</si>
  <si>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</si>
  <si>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</si>
  <si>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</si>
  <si>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</si>
  <si>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</si>
  <si>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</si>
  <si>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</si>
  <si>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</si>
  <si>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</si>
  <si>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</si>
  <si>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</si>
  <si>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</si>
  <si>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Beginning Bank Balance</t>
  </si>
  <si>
    <t>Cash Inflows</t>
  </si>
  <si>
    <t>AR Collected</t>
  </si>
  <si>
    <t>Sales</t>
  </si>
  <si>
    <t>New Client 1</t>
  </si>
  <si>
    <t>New Client 2</t>
  </si>
  <si>
    <t>New Client 3</t>
  </si>
  <si>
    <t>Other Income</t>
  </si>
  <si>
    <t>Line of Credit Advances</t>
  </si>
  <si>
    <t>AMEX LOC Injection</t>
  </si>
  <si>
    <t>Vantage LOC Injection</t>
  </si>
  <si>
    <t>Total Cash Inflows</t>
  </si>
  <si>
    <t>Cash Outflows</t>
  </si>
  <si>
    <t>Expenses &amp; Accounts Payable</t>
  </si>
  <si>
    <t>Accounts Payable (A/P)</t>
  </si>
  <si>
    <t>Auto:Auto Insurance</t>
  </si>
  <si>
    <t>Bank Charges &amp; Fees:Bank Fees</t>
  </si>
  <si>
    <t>Charitable Contributions</t>
  </si>
  <si>
    <t>Direct Deposit Payable</t>
  </si>
  <si>
    <t>Dues &amp; subscription</t>
  </si>
  <si>
    <t>Job Supplies</t>
  </si>
  <si>
    <t>Legal &amp; Professional Services:Consulting</t>
  </si>
  <si>
    <t>Payroll Expenses:Employee Health Contributions</t>
  </si>
  <si>
    <t>QuickBooks Tax Holding Account</t>
  </si>
  <si>
    <t>Seminars &amp; Meetings</t>
  </si>
  <si>
    <t>Subcontractors</t>
  </si>
  <si>
    <t>Taxes Paid</t>
  </si>
  <si>
    <t>Utilities</t>
  </si>
  <si>
    <t>Utilities:Internet</t>
  </si>
  <si>
    <t>Headcount 1</t>
  </si>
  <si>
    <t>Headcount 2</t>
  </si>
  <si>
    <t>Headcount 3</t>
  </si>
  <si>
    <t>Credit Cards And Loans</t>
  </si>
  <si>
    <t>AMEX LOC</t>
  </si>
  <si>
    <t>CREDIT CARD (5290) - 1</t>
  </si>
  <si>
    <t>Chase 4571</t>
  </si>
  <si>
    <t>Chase 9600</t>
  </si>
  <si>
    <t>Chase 9754</t>
  </si>
  <si>
    <t>My Best Buy® Visa® Card (7115) - 3</t>
  </si>
  <si>
    <t>N/P On Deck Capital</t>
  </si>
  <si>
    <t>Owner's Expense</t>
  </si>
  <si>
    <t>Owner's Pay &amp; Personal Expenses</t>
  </si>
  <si>
    <t>Total Cash Outflows</t>
  </si>
  <si>
    <t>Ending Bank Balance</t>
  </si>
  <si>
    <t>Owner Distribution as a % of NET Ending Bank Balance</t>
  </si>
  <si>
    <t>Ending Cash FLOW Floor</t>
  </si>
  <si>
    <t>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</si>
</sst>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.00_);[Red]\(&quot;$&quot;#,##0.00\)"/>
    <numFmt numFmtId="167" formatCode="_(* #,##0.00_);_(* \(#,##0.00\);_(* &quot;-&quot;??_);_(@_)"/>
    <numFmt numFmtId="168" formatCode="&quot;$&quot;#,##0"/>
  </numFmts>
  <fonts count="10">
    <font>
      <sz val="11.0"/>
      <color theme="1"/>
      <name val="Aptos Narrow"/>
      <scheme val="minor"/>
    </font>
    <font>
      <sz val="12.0"/>
      <color rgb="FF000000"/>
      <name val="Aptos Narrow"/>
    </font>
    <font>
      <sz val="16.0"/>
      <color rgb="FFFFFFFF"/>
      <name val="Arial"/>
    </font>
    <font/>
    <font>
      <sz val="12.0"/>
      <color rgb="FF000000"/>
      <name val="Arial"/>
    </font>
    <font>
      <b/>
      <sz val="12.0"/>
      <color rgb="FF000000"/>
      <name val="Aptos Narrow"/>
    </font>
    <font>
      <sz val="12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2977E"/>
        <bgColor rgb="FFF2977E"/>
      </patternFill>
    </fill>
    <fill>
      <patternFill patternType="solid">
        <fgColor rgb="FFA3A5D0"/>
        <bgColor rgb="FFA3A5D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53C9B8"/>
        <bgColor rgb="FF53C9B8"/>
      </patternFill>
    </fill>
  </fills>
  <borders count="10">
    <border/>
    <border>
      <left/>
      <top/>
    </border>
    <border>
      <top/>
    </border>
    <border>
      <left/>
    </border>
    <border>
      <left/>
      <right/>
      <top/>
      <bottom/>
    </border>
    <border>
      <left/>
      <top/>
      <bottom/>
    </border>
    <border>
      <top/>
      <bottom/>
    </border>
    <border>
      <right style="thick">
        <color rgb="FF000000"/>
      </right>
      <top/>
      <bottom/>
    </border>
    <border>
      <left/>
      <right style="thick">
        <color rgb="FF000000"/>
      </right>
      <top/>
      <bottom/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wrapText="1"/>
    </xf>
    <xf borderId="2" fillId="0" fontId="3" numFmtId="0" xfId="0" applyBorder="1" applyFont="1"/>
    <xf borderId="3" fillId="0" fontId="3" numFmtId="0" xfId="0" applyBorder="1" applyFont="1"/>
    <xf borderId="0" fillId="0" fontId="4" numFmtId="164" xfId="0" applyFont="1" applyNumberFormat="1"/>
    <xf borderId="4" fillId="3" fontId="5" numFmtId="0" xfId="0" applyBorder="1" applyFill="1" applyFont="1"/>
    <xf borderId="5" fillId="3" fontId="5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3" numFmtId="0" xfId="0" applyBorder="1" applyFont="1"/>
    <xf borderId="5" fillId="3" fontId="5" numFmtId="0" xfId="0" applyAlignment="1" applyBorder="1" applyFont="1">
      <alignment shrinkToFit="0" wrapText="1"/>
    </xf>
    <xf borderId="4" fillId="3" fontId="1" numFmtId="14" xfId="0" applyAlignment="1" applyBorder="1" applyFont="1" applyNumberFormat="1">
      <alignment horizontal="center"/>
    </xf>
    <xf borderId="8" fillId="3" fontId="1" numFmtId="14" xfId="0" applyAlignment="1" applyBorder="1" applyFont="1" applyNumberFormat="1">
      <alignment horizontal="center"/>
    </xf>
    <xf borderId="4" fillId="3" fontId="4" numFmtId="14" xfId="0" applyAlignment="1" applyBorder="1" applyFont="1" applyNumberFormat="1">
      <alignment horizontal="center"/>
    </xf>
    <xf borderId="4" fillId="3" fontId="5" numFmtId="0" xfId="0" applyAlignment="1" applyBorder="1" applyFont="1">
      <alignment horizontal="center"/>
    </xf>
    <xf borderId="8" fillId="3" fontId="5" numFmtId="0" xfId="0" applyAlignment="1" applyBorder="1" applyFont="1">
      <alignment horizontal="center"/>
    </xf>
    <xf borderId="9" fillId="0" fontId="1" numFmtId="0" xfId="0" applyBorder="1" applyFont="1"/>
    <xf borderId="4" fillId="3" fontId="1" numFmtId="165" xfId="0" applyBorder="1" applyFont="1" applyNumberFormat="1"/>
    <xf borderId="8" fillId="3" fontId="1" numFmtId="165" xfId="0" applyBorder="1" applyFont="1" applyNumberFormat="1"/>
    <xf borderId="4" fillId="3" fontId="4" numFmtId="166" xfId="0" applyBorder="1" applyFont="1" applyNumberFormat="1"/>
    <xf borderId="0" fillId="0" fontId="1" numFmtId="165" xfId="0" applyFont="1" applyNumberFormat="1"/>
    <xf borderId="9" fillId="0" fontId="1" numFmtId="165" xfId="0" applyBorder="1" applyFont="1" applyNumberFormat="1"/>
    <xf borderId="0" fillId="0" fontId="5" numFmtId="0" xfId="0" applyFont="1"/>
    <xf borderId="5" fillId="4" fontId="5" numFmtId="0" xfId="0" applyBorder="1" applyFill="1" applyFont="1"/>
    <xf borderId="4" fillId="4" fontId="1" numFmtId="165" xfId="0" applyBorder="1" applyFont="1" applyNumberFormat="1"/>
    <xf borderId="8" fillId="4" fontId="1" numFmtId="165" xfId="0" applyBorder="1" applyFont="1" applyNumberFormat="1"/>
    <xf borderId="0" fillId="0" fontId="6" numFmtId="0" xfId="0" applyFont="1"/>
    <xf borderId="0" fillId="0" fontId="6" numFmtId="167" xfId="0" applyFont="1" applyNumberFormat="1"/>
    <xf borderId="0" fillId="5" fontId="4" numFmtId="0" xfId="0" applyFill="1" applyFont="1"/>
    <xf borderId="0" fillId="5" fontId="1" numFmtId="165" xfId="0" applyFont="1" applyNumberFormat="1"/>
    <xf borderId="4" fillId="6" fontId="4" numFmtId="165" xfId="0" applyBorder="1" applyFill="1" applyFont="1" applyNumberFormat="1"/>
    <xf borderId="4" fillId="5" fontId="4" numFmtId="165" xfId="0" applyBorder="1" applyFont="1" applyNumberFormat="1"/>
    <xf borderId="9" fillId="5" fontId="1" numFmtId="165" xfId="0" applyBorder="1" applyFont="1" applyNumberFormat="1"/>
    <xf borderId="0" fillId="0" fontId="4" numFmtId="165" xfId="0" applyFont="1" applyNumberFormat="1"/>
    <xf borderId="0" fillId="0" fontId="6" numFmtId="165" xfId="0" applyAlignment="1" applyFont="1" applyNumberFormat="1">
      <alignment horizontal="right"/>
    </xf>
    <xf borderId="9" fillId="0" fontId="6" numFmtId="165" xfId="0" applyAlignment="1" applyBorder="1" applyFont="1" applyNumberFormat="1">
      <alignment horizontal="right"/>
    </xf>
    <xf borderId="4" fillId="6" fontId="1" numFmtId="165" xfId="0" applyBorder="1" applyFont="1" applyNumberFormat="1"/>
    <xf borderId="9" fillId="0" fontId="4" numFmtId="165" xfId="0" applyBorder="1" applyFont="1" applyNumberFormat="1"/>
    <xf borderId="0" fillId="0" fontId="6" numFmtId="165" xfId="0" applyFont="1" applyNumberFormat="1"/>
    <xf borderId="0" fillId="0" fontId="7" numFmtId="0" xfId="0" applyFont="1"/>
    <xf borderId="0" fillId="0" fontId="4" numFmtId="0" xfId="0" applyFont="1"/>
    <xf borderId="4" fillId="6" fontId="1" numFmtId="10" xfId="0" applyBorder="1" applyFont="1" applyNumberFormat="1"/>
    <xf borderId="0" fillId="0" fontId="8" numFmtId="0" xfId="0" applyFont="1"/>
    <xf borderId="0" fillId="0" fontId="8" numFmtId="168" xfId="0" applyFont="1" applyNumberForma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0" outlineLevelRow="1"/>
  <cols>
    <col customWidth="1" min="1" max="3" width="8.88"/>
    <col customWidth="1" min="4" max="4" width="58.75"/>
    <col customWidth="1" min="5" max="6" width="14.38"/>
    <col customWidth="1" min="7" max="7" width="16.38"/>
    <col customWidth="1" min="8" max="8" width="14.38"/>
    <col customWidth="1" min="9" max="9" width="15.88"/>
    <col customWidth="1" min="10" max="21" width="14.38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1"/>
      <c r="B2" s="4"/>
    </row>
    <row r="3">
      <c r="A3" s="1"/>
      <c r="B3" s="4"/>
    </row>
    <row r="4">
      <c r="A4" s="1"/>
      <c r="B4" s="1"/>
      <c r="C4" s="1"/>
      <c r="D4" s="1" t="s">
        <v>1</v>
      </c>
      <c r="E4" s="5">
        <v>100000.0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0" customHeight="1">
      <c r="A5" s="1"/>
      <c r="B5" s="6" t="s">
        <v>2</v>
      </c>
      <c r="C5" s="6" t="s">
        <v>2</v>
      </c>
      <c r="D5" s="6" t="s">
        <v>2</v>
      </c>
      <c r="E5" s="7" t="s">
        <v>3</v>
      </c>
      <c r="F5" s="8"/>
      <c r="G5" s="8"/>
      <c r="H5" s="9"/>
      <c r="I5" s="7" t="s"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ht="15.0" customHeight="1">
      <c r="A6" s="1"/>
      <c r="B6" s="10" t="s">
        <v>5</v>
      </c>
      <c r="C6" s="8"/>
      <c r="D6" s="8"/>
      <c r="E6" s="11">
        <f t="shared" ref="E6:H6" si="1">F6-7</f>
        <v>46034</v>
      </c>
      <c r="F6" s="11">
        <f t="shared" si="1"/>
        <v>46041</v>
      </c>
      <c r="G6" s="11">
        <f t="shared" si="1"/>
        <v>46048</v>
      </c>
      <c r="H6" s="12">
        <f t="shared" si="1"/>
        <v>46055</v>
      </c>
      <c r="I6" s="13">
        <v>46062.0</v>
      </c>
      <c r="J6" s="11">
        <f t="shared" ref="J6:U6" si="2">I6+7</f>
        <v>46069</v>
      </c>
      <c r="K6" s="11">
        <f t="shared" si="2"/>
        <v>46076</v>
      </c>
      <c r="L6" s="11">
        <f t="shared" si="2"/>
        <v>46083</v>
      </c>
      <c r="M6" s="11">
        <f t="shared" si="2"/>
        <v>46090</v>
      </c>
      <c r="N6" s="11">
        <f t="shared" si="2"/>
        <v>46097</v>
      </c>
      <c r="O6" s="11">
        <f t="shared" si="2"/>
        <v>46104</v>
      </c>
      <c r="P6" s="11">
        <f t="shared" si="2"/>
        <v>46111</v>
      </c>
      <c r="Q6" s="11">
        <f t="shared" si="2"/>
        <v>46118</v>
      </c>
      <c r="R6" s="11">
        <f t="shared" si="2"/>
        <v>46125</v>
      </c>
      <c r="S6" s="11">
        <f t="shared" si="2"/>
        <v>46132</v>
      </c>
      <c r="T6" s="11">
        <f t="shared" si="2"/>
        <v>46139</v>
      </c>
      <c r="U6" s="11">
        <f t="shared" si="2"/>
        <v>46146</v>
      </c>
    </row>
    <row r="7" ht="15.0" customHeight="1">
      <c r="A7" s="1"/>
      <c r="B7" s="10" t="s">
        <v>6</v>
      </c>
      <c r="C7" s="8"/>
      <c r="D7" s="8"/>
      <c r="E7" s="14" t="s">
        <v>2</v>
      </c>
      <c r="F7" s="14" t="s">
        <v>2</v>
      </c>
      <c r="G7" s="14" t="s">
        <v>2</v>
      </c>
      <c r="H7" s="15" t="s">
        <v>2</v>
      </c>
      <c r="I7" s="14" t="s">
        <v>7</v>
      </c>
      <c r="J7" s="14" t="s">
        <v>8</v>
      </c>
      <c r="K7" s="14" t="s">
        <v>9</v>
      </c>
      <c r="L7" s="14" t="s">
        <v>10</v>
      </c>
      <c r="M7" s="14" t="s">
        <v>11</v>
      </c>
      <c r="N7" s="14" t="s">
        <v>12</v>
      </c>
      <c r="O7" s="14" t="s">
        <v>13</v>
      </c>
      <c r="P7" s="14" t="s">
        <v>14</v>
      </c>
      <c r="Q7" s="14" t="s">
        <v>15</v>
      </c>
      <c r="R7" s="14" t="s">
        <v>16</v>
      </c>
      <c r="S7" s="14" t="s">
        <v>17</v>
      </c>
      <c r="T7" s="14" t="s">
        <v>18</v>
      </c>
      <c r="U7" s="14" t="s">
        <v>19</v>
      </c>
    </row>
    <row r="8">
      <c r="A8" s="1"/>
      <c r="B8" s="1"/>
      <c r="C8" s="1"/>
      <c r="D8" s="1"/>
      <c r="E8" s="1"/>
      <c r="F8" s="1"/>
      <c r="G8" s="1"/>
      <c r="H8" s="16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5.0" customHeight="1">
      <c r="A9" s="1"/>
      <c r="B9" s="10" t="s">
        <v>20</v>
      </c>
      <c r="C9" s="8"/>
      <c r="D9" s="8"/>
      <c r="E9" s="17">
        <f t="shared" ref="E9:H9" si="3">E62-E60-E25</f>
        <v>83085.33</v>
      </c>
      <c r="F9" s="17">
        <f t="shared" si="3"/>
        <v>69294.84</v>
      </c>
      <c r="G9" s="17">
        <f t="shared" si="3"/>
        <v>72781.84</v>
      </c>
      <c r="H9" s="18">
        <f t="shared" si="3"/>
        <v>63567.49</v>
      </c>
      <c r="I9" s="19">
        <v>63114.06</v>
      </c>
      <c r="J9" s="17">
        <f t="shared" ref="J9:U9" si="4">I62</f>
        <v>60878.99201</v>
      </c>
      <c r="K9" s="17">
        <f t="shared" si="4"/>
        <v>59390.22995</v>
      </c>
      <c r="L9" s="17">
        <f t="shared" si="4"/>
        <v>48137.15385</v>
      </c>
      <c r="M9" s="17">
        <f t="shared" si="4"/>
        <v>46579.67497</v>
      </c>
      <c r="N9" s="17">
        <f t="shared" si="4"/>
        <v>39792.7103</v>
      </c>
      <c r="O9" s="17">
        <f t="shared" si="4"/>
        <v>39229.96503</v>
      </c>
      <c r="P9" s="17">
        <f t="shared" si="4"/>
        <v>24167.84242</v>
      </c>
      <c r="Q9" s="17">
        <f t="shared" si="4"/>
        <v>-11017.70597</v>
      </c>
      <c r="R9" s="17">
        <f t="shared" si="4"/>
        <v>-16678.85685</v>
      </c>
      <c r="S9" s="17">
        <f t="shared" si="4"/>
        <v>-28582.06242</v>
      </c>
      <c r="T9" s="17">
        <f t="shared" si="4"/>
        <v>-32236.99983</v>
      </c>
      <c r="U9" s="17">
        <f t="shared" si="4"/>
        <v>-52059.76412</v>
      </c>
    </row>
    <row r="10">
      <c r="A10" s="1"/>
      <c r="B10" s="1"/>
      <c r="C10" s="1"/>
      <c r="D10" s="1"/>
      <c r="E10" s="20"/>
      <c r="F10" s="20"/>
      <c r="G10" s="20"/>
      <c r="H10" s="21" t="s">
        <v>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15.0" customHeight="1">
      <c r="A11" s="1"/>
      <c r="B11" s="22" t="s">
        <v>21</v>
      </c>
      <c r="E11" s="20"/>
      <c r="F11" s="20"/>
      <c r="G11" s="20"/>
      <c r="H11" s="21" t="s">
        <v>2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ht="15.0" customHeight="1">
      <c r="A12" s="1"/>
      <c r="B12" s="1"/>
      <c r="C12" s="23" t="s">
        <v>22</v>
      </c>
      <c r="D12" s="8"/>
      <c r="E12" s="24">
        <f t="shared" ref="E12:U12" si="5">SUM(E13:E14)</f>
        <v>13760.73</v>
      </c>
      <c r="F12" s="24">
        <f t="shared" si="5"/>
        <v>12347.68</v>
      </c>
      <c r="G12" s="24">
        <f t="shared" si="5"/>
        <v>16119.9</v>
      </c>
      <c r="H12" s="25">
        <f t="shared" si="5"/>
        <v>14096.09</v>
      </c>
      <c r="I12" s="24">
        <f t="shared" si="5"/>
        <v>17120.15203</v>
      </c>
      <c r="J12" s="24">
        <f t="shared" si="5"/>
        <v>15486.00905</v>
      </c>
      <c r="K12" s="24">
        <f t="shared" si="5"/>
        <v>15710.35325</v>
      </c>
      <c r="L12" s="24">
        <f t="shared" si="5"/>
        <v>13882.27877</v>
      </c>
      <c r="M12" s="24">
        <f t="shared" si="5"/>
        <v>15533.53348</v>
      </c>
      <c r="N12" s="24">
        <f t="shared" si="5"/>
        <v>14016.79549</v>
      </c>
      <c r="O12" s="24">
        <f t="shared" si="5"/>
        <v>14183.64425</v>
      </c>
      <c r="P12" s="24">
        <f t="shared" si="5"/>
        <v>13828.29495</v>
      </c>
      <c r="Q12" s="24">
        <f t="shared" si="5"/>
        <v>12153.96577</v>
      </c>
      <c r="R12" s="24">
        <f t="shared" si="5"/>
        <v>13550.2603</v>
      </c>
      <c r="S12" s="24">
        <f t="shared" si="5"/>
        <v>12180.27854</v>
      </c>
      <c r="T12" s="24">
        <f t="shared" si="5"/>
        <v>12275.25799</v>
      </c>
      <c r="U12" s="24">
        <f t="shared" si="5"/>
        <v>10771.31537</v>
      </c>
    </row>
    <row r="13" outlineLevel="1">
      <c r="A13" s="1"/>
      <c r="B13" s="1"/>
      <c r="C13" s="1"/>
      <c r="D13" s="26" t="s">
        <v>23</v>
      </c>
      <c r="E13" s="27">
        <v>13760.73</v>
      </c>
      <c r="F13" s="27">
        <v>12347.68</v>
      </c>
      <c r="G13" s="27">
        <v>16119.9</v>
      </c>
      <c r="H13" s="27">
        <v>14096.09</v>
      </c>
      <c r="I13" s="27">
        <v>17120.15203023312</v>
      </c>
      <c r="J13" s="27">
        <v>15486.00905271018</v>
      </c>
      <c r="K13" s="27">
        <v>15710.3532479778</v>
      </c>
      <c r="L13" s="27">
        <v>13882.27876833576</v>
      </c>
      <c r="M13" s="27">
        <v>15533.53348449892</v>
      </c>
      <c r="N13" s="27">
        <v>14016.79549146387</v>
      </c>
      <c r="O13" s="27">
        <v>14183.64424528153</v>
      </c>
      <c r="P13" s="27">
        <v>13828.29494521756</v>
      </c>
      <c r="Q13" s="27">
        <v>12153.96577042212</v>
      </c>
      <c r="R13" s="27">
        <v>13550.26030233118</v>
      </c>
      <c r="S13" s="27">
        <v>12180.27853990598</v>
      </c>
      <c r="T13" s="27">
        <v>12275.2579919112</v>
      </c>
      <c r="U13" s="27">
        <v>10771.31537209122</v>
      </c>
    </row>
    <row r="14" ht="15.75" customHeight="1" outlineLevel="1">
      <c r="A14" s="1"/>
      <c r="B14" s="1"/>
      <c r="C14" s="1"/>
      <c r="D14" s="28" t="s">
        <v>24</v>
      </c>
      <c r="E14" s="29">
        <v>0.0</v>
      </c>
      <c r="F14" s="29">
        <v>0.0</v>
      </c>
      <c r="G14" s="29">
        <v>0.0</v>
      </c>
      <c r="H14" s="29">
        <v>0.0</v>
      </c>
      <c r="I14" s="30">
        <v>0.0</v>
      </c>
      <c r="J14" s="30">
        <v>0.0</v>
      </c>
      <c r="K14" s="30">
        <v>0.0</v>
      </c>
      <c r="L14" s="30">
        <v>0.0</v>
      </c>
      <c r="M14" s="30">
        <v>0.0</v>
      </c>
      <c r="N14" s="30">
        <v>0.0</v>
      </c>
      <c r="O14" s="30">
        <v>0.0</v>
      </c>
      <c r="P14" s="30">
        <v>0.0</v>
      </c>
      <c r="Q14" s="30">
        <v>0.0</v>
      </c>
      <c r="R14" s="30">
        <v>0.0</v>
      </c>
      <c r="S14" s="30">
        <v>0.0</v>
      </c>
      <c r="T14" s="30">
        <v>0.0</v>
      </c>
      <c r="U14" s="30">
        <v>0.0</v>
      </c>
    </row>
    <row r="15" ht="15.75" customHeight="1" outlineLevel="1">
      <c r="A15" s="1"/>
      <c r="B15" s="1"/>
      <c r="C15" s="1"/>
      <c r="D15" s="28" t="s">
        <v>25</v>
      </c>
      <c r="E15" s="29">
        <v>0.0</v>
      </c>
      <c r="F15" s="29">
        <v>0.0</v>
      </c>
      <c r="G15" s="29">
        <v>0.0</v>
      </c>
      <c r="H15" s="29">
        <v>0.0</v>
      </c>
      <c r="I15" s="30">
        <v>0.0</v>
      </c>
      <c r="J15" s="30">
        <v>0.0</v>
      </c>
      <c r="K15" s="30">
        <v>0.0</v>
      </c>
      <c r="L15" s="30">
        <v>0.0</v>
      </c>
      <c r="M15" s="30">
        <v>0.0</v>
      </c>
      <c r="N15" s="30">
        <v>0.0</v>
      </c>
      <c r="O15" s="30">
        <v>0.0</v>
      </c>
      <c r="P15" s="30">
        <v>0.0</v>
      </c>
      <c r="Q15" s="30">
        <v>0.0</v>
      </c>
      <c r="R15" s="30">
        <v>0.0</v>
      </c>
      <c r="S15" s="30">
        <v>0.0</v>
      </c>
      <c r="T15" s="30">
        <v>0.0</v>
      </c>
      <c r="U15" s="30">
        <v>0.0</v>
      </c>
    </row>
    <row r="16" ht="15.75" customHeight="1" outlineLevel="1">
      <c r="A16" s="1"/>
      <c r="B16" s="1"/>
      <c r="C16" s="1"/>
      <c r="D16" s="28" t="s">
        <v>26</v>
      </c>
      <c r="E16" s="29">
        <v>0.0</v>
      </c>
      <c r="F16" s="29">
        <v>0.0</v>
      </c>
      <c r="G16" s="29">
        <v>0.0</v>
      </c>
      <c r="H16" s="29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0.0</v>
      </c>
      <c r="N16" s="30">
        <v>0.0</v>
      </c>
      <c r="O16" s="30">
        <v>0.0</v>
      </c>
      <c r="P16" s="30">
        <v>0.0</v>
      </c>
      <c r="Q16" s="30">
        <v>0.0</v>
      </c>
      <c r="R16" s="30">
        <v>0.0</v>
      </c>
      <c r="S16" s="30">
        <v>0.0</v>
      </c>
      <c r="T16" s="30">
        <v>0.0</v>
      </c>
      <c r="U16" s="30">
        <v>0.0</v>
      </c>
    </row>
    <row r="17" ht="15.0" customHeight="1">
      <c r="A17" s="1"/>
      <c r="B17" s="1"/>
      <c r="C17" s="23" t="s">
        <v>27</v>
      </c>
      <c r="D17" s="8"/>
      <c r="E17" s="24">
        <f t="shared" ref="E17:G17" si="6">E18+E19</f>
        <v>0</v>
      </c>
      <c r="F17" s="24">
        <f t="shared" si="6"/>
        <v>0</v>
      </c>
      <c r="G17" s="24">
        <f t="shared" si="6"/>
        <v>0</v>
      </c>
      <c r="H17" s="25">
        <f>SUM(H18:H20)</f>
        <v>0</v>
      </c>
      <c r="I17" s="24">
        <f t="shared" ref="I17:U17" si="7">I18+I19</f>
        <v>0</v>
      </c>
      <c r="J17" s="24">
        <f t="shared" si="7"/>
        <v>0</v>
      </c>
      <c r="K17" s="24">
        <f t="shared" si="7"/>
        <v>0</v>
      </c>
      <c r="L17" s="24">
        <f t="shared" si="7"/>
        <v>0</v>
      </c>
      <c r="M17" s="24">
        <f t="shared" si="7"/>
        <v>0</v>
      </c>
      <c r="N17" s="24">
        <f t="shared" si="7"/>
        <v>0</v>
      </c>
      <c r="O17" s="24">
        <f t="shared" si="7"/>
        <v>0</v>
      </c>
      <c r="P17" s="24">
        <f t="shared" si="7"/>
        <v>0</v>
      </c>
      <c r="Q17" s="24">
        <f t="shared" si="7"/>
        <v>0</v>
      </c>
      <c r="R17" s="24">
        <f t="shared" si="7"/>
        <v>0</v>
      </c>
      <c r="S17" s="24">
        <f t="shared" si="7"/>
        <v>0</v>
      </c>
      <c r="T17" s="24">
        <f t="shared" si="7"/>
        <v>0</v>
      </c>
      <c r="U17" s="24">
        <f t="shared" si="7"/>
        <v>0</v>
      </c>
    </row>
    <row r="18" ht="15.75" customHeight="1" outlineLevel="1">
      <c r="A18" s="1"/>
      <c r="B18" s="1"/>
      <c r="C18" s="1"/>
      <c r="D18" s="1"/>
      <c r="E18" s="20">
        <v>0.0</v>
      </c>
      <c r="F18" s="20">
        <v>0.0</v>
      </c>
      <c r="G18" s="20">
        <v>0.0</v>
      </c>
      <c r="H18" s="20">
        <v>0.0</v>
      </c>
      <c r="I18" s="30">
        <v>0.0</v>
      </c>
      <c r="J18" s="30">
        <v>0.0</v>
      </c>
      <c r="K18" s="30">
        <v>0.0</v>
      </c>
      <c r="L18" s="30">
        <v>0.0</v>
      </c>
      <c r="M18" s="30">
        <v>0.0</v>
      </c>
      <c r="N18" s="30">
        <v>0.0</v>
      </c>
      <c r="O18" s="30">
        <v>0.0</v>
      </c>
      <c r="P18" s="30">
        <v>0.0</v>
      </c>
      <c r="Q18" s="30">
        <v>0.0</v>
      </c>
      <c r="R18" s="30">
        <v>0.0</v>
      </c>
      <c r="S18" s="30">
        <v>0.0</v>
      </c>
      <c r="T18" s="30">
        <v>0.0</v>
      </c>
      <c r="U18" s="30">
        <v>0.0</v>
      </c>
    </row>
    <row r="19" ht="15.75" customHeight="1" outlineLevel="1">
      <c r="A19" s="1"/>
      <c r="B19" s="1"/>
      <c r="C19" s="1"/>
      <c r="D19" s="1"/>
      <c r="E19" s="20">
        <v>0.0</v>
      </c>
      <c r="F19" s="20">
        <v>0.0</v>
      </c>
      <c r="G19" s="20">
        <v>0.0</v>
      </c>
      <c r="H19" s="20">
        <v>0.0</v>
      </c>
      <c r="I19" s="30">
        <v>0.0</v>
      </c>
      <c r="J19" s="30">
        <v>0.0</v>
      </c>
      <c r="K19" s="30">
        <v>0.0</v>
      </c>
      <c r="L19" s="30">
        <v>0.0</v>
      </c>
      <c r="M19" s="30">
        <v>0.0</v>
      </c>
      <c r="N19" s="30">
        <v>0.0</v>
      </c>
      <c r="O19" s="30">
        <v>0.0</v>
      </c>
      <c r="P19" s="30">
        <v>0.0</v>
      </c>
      <c r="Q19" s="30">
        <v>0.0</v>
      </c>
      <c r="R19" s="30">
        <v>0.0</v>
      </c>
      <c r="S19" s="30">
        <v>0.0</v>
      </c>
      <c r="T19" s="30">
        <v>0.0</v>
      </c>
      <c r="U19" s="30">
        <v>0.0</v>
      </c>
    </row>
    <row r="20" ht="15.75" customHeight="1">
      <c r="A20" s="1"/>
      <c r="B20" s="1"/>
      <c r="C20" s="1"/>
      <c r="D20" s="1"/>
      <c r="E20" s="20">
        <v>0.0</v>
      </c>
      <c r="F20" s="20">
        <v>0.0</v>
      </c>
      <c r="G20" s="20">
        <v>0.0</v>
      </c>
      <c r="H20" s="20">
        <v>0.0</v>
      </c>
      <c r="I20" s="30">
        <v>0.0</v>
      </c>
      <c r="J20" s="30">
        <v>0.0</v>
      </c>
      <c r="K20" s="30">
        <v>0.0</v>
      </c>
      <c r="L20" s="30">
        <v>0.0</v>
      </c>
      <c r="M20" s="30">
        <v>0.0</v>
      </c>
      <c r="N20" s="30">
        <v>0.0</v>
      </c>
      <c r="O20" s="30">
        <v>0.0</v>
      </c>
      <c r="P20" s="30">
        <v>0.0</v>
      </c>
      <c r="Q20" s="30">
        <v>0.0</v>
      </c>
      <c r="R20" s="30">
        <v>0.0</v>
      </c>
      <c r="S20" s="30">
        <v>0.0</v>
      </c>
      <c r="T20" s="30">
        <v>0.0</v>
      </c>
      <c r="U20" s="30">
        <v>0.0</v>
      </c>
    </row>
    <row r="21" ht="15.0" customHeight="1">
      <c r="A21" s="1"/>
      <c r="B21" s="1"/>
      <c r="C21" s="23" t="s">
        <v>28</v>
      </c>
      <c r="D21" s="8"/>
      <c r="E21" s="24">
        <v>0.0</v>
      </c>
      <c r="F21" s="24">
        <v>0.0</v>
      </c>
      <c r="G21" s="24">
        <v>0.0</v>
      </c>
      <c r="H21" s="25">
        <f t="shared" ref="H21:U21" si="8">SUM(H22:H24)</f>
        <v>0</v>
      </c>
      <c r="I21" s="24">
        <f t="shared" si="8"/>
        <v>0</v>
      </c>
      <c r="J21" s="24">
        <f t="shared" si="8"/>
        <v>0</v>
      </c>
      <c r="K21" s="24">
        <f t="shared" si="8"/>
        <v>0</v>
      </c>
      <c r="L21" s="24">
        <f t="shared" si="8"/>
        <v>0</v>
      </c>
      <c r="M21" s="24">
        <f t="shared" si="8"/>
        <v>0</v>
      </c>
      <c r="N21" s="24">
        <f t="shared" si="8"/>
        <v>0</v>
      </c>
      <c r="O21" s="24">
        <f t="shared" si="8"/>
        <v>0</v>
      </c>
      <c r="P21" s="24">
        <f t="shared" si="8"/>
        <v>0</v>
      </c>
      <c r="Q21" s="24">
        <f t="shared" si="8"/>
        <v>0</v>
      </c>
      <c r="R21" s="24">
        <f t="shared" si="8"/>
        <v>0</v>
      </c>
      <c r="S21" s="24">
        <f t="shared" si="8"/>
        <v>0</v>
      </c>
      <c r="T21" s="24">
        <f t="shared" si="8"/>
        <v>0</v>
      </c>
      <c r="U21" s="24">
        <f t="shared" si="8"/>
        <v>0</v>
      </c>
    </row>
    <row r="22" ht="15.75" customHeight="1" outlineLevel="1">
      <c r="A22" s="1"/>
      <c r="B22" s="1"/>
      <c r="C22" s="1"/>
      <c r="D22" s="28" t="s">
        <v>29</v>
      </c>
      <c r="E22" s="29">
        <v>0.0</v>
      </c>
      <c r="F22" s="29">
        <v>0.0</v>
      </c>
      <c r="G22" s="29">
        <v>0.0</v>
      </c>
      <c r="H22" s="29">
        <v>0.0</v>
      </c>
      <c r="I22" s="31">
        <v>0.0</v>
      </c>
      <c r="J22" s="30">
        <v>0.0</v>
      </c>
      <c r="K22" s="30">
        <v>0.0</v>
      </c>
      <c r="L22" s="30">
        <v>0.0</v>
      </c>
      <c r="M22" s="30">
        <v>0.0</v>
      </c>
      <c r="N22" s="30">
        <v>0.0</v>
      </c>
      <c r="O22" s="30">
        <v>0.0</v>
      </c>
      <c r="P22" s="30">
        <v>0.0</v>
      </c>
      <c r="Q22" s="30">
        <v>0.0</v>
      </c>
      <c r="R22" s="30">
        <v>0.0</v>
      </c>
      <c r="S22" s="30">
        <v>0.0</v>
      </c>
      <c r="T22" s="30">
        <v>0.0</v>
      </c>
      <c r="U22" s="30">
        <v>0.0</v>
      </c>
    </row>
    <row r="23" ht="15.75" customHeight="1" outlineLevel="1">
      <c r="A23" s="1"/>
      <c r="B23" s="1"/>
      <c r="C23" s="1"/>
      <c r="D23" s="28" t="s">
        <v>30</v>
      </c>
      <c r="E23" s="29">
        <v>0.0</v>
      </c>
      <c r="F23" s="29">
        <v>0.0</v>
      </c>
      <c r="G23" s="29">
        <v>0.0</v>
      </c>
      <c r="H23" s="32"/>
      <c r="I23" s="30">
        <v>0.0</v>
      </c>
      <c r="J23" s="30">
        <v>0.0</v>
      </c>
      <c r="K23" s="30">
        <v>0.0</v>
      </c>
      <c r="L23" s="31">
        <v>0.0</v>
      </c>
      <c r="M23" s="30">
        <v>0.0</v>
      </c>
      <c r="N23" s="30">
        <v>0.0</v>
      </c>
      <c r="O23" s="30">
        <v>0.0</v>
      </c>
      <c r="P23" s="30">
        <v>0.0</v>
      </c>
      <c r="Q23" s="30">
        <v>0.0</v>
      </c>
      <c r="R23" s="30">
        <v>0.0</v>
      </c>
      <c r="S23" s="30">
        <v>0.0</v>
      </c>
      <c r="T23" s="30">
        <v>0.0</v>
      </c>
      <c r="U23" s="30">
        <v>0.0</v>
      </c>
    </row>
    <row r="24" ht="15.75" customHeight="1">
      <c r="A24" s="1"/>
      <c r="B24" s="1"/>
      <c r="C24" s="1"/>
      <c r="D24" s="1"/>
      <c r="E24" s="20"/>
      <c r="F24" s="20"/>
      <c r="G24" s="20"/>
      <c r="H24" s="21" t="s">
        <v>2</v>
      </c>
      <c r="I24" s="30">
        <v>0.0</v>
      </c>
      <c r="J24" s="30">
        <v>0.0</v>
      </c>
      <c r="K24" s="30">
        <v>0.0</v>
      </c>
      <c r="L24" s="30">
        <v>0.0</v>
      </c>
      <c r="M24" s="30">
        <v>0.0</v>
      </c>
      <c r="N24" s="30">
        <v>0.0</v>
      </c>
      <c r="O24" s="30">
        <v>0.0</v>
      </c>
      <c r="P24" s="30">
        <v>0.0</v>
      </c>
      <c r="Q24" s="30">
        <v>0.0</v>
      </c>
      <c r="R24" s="30">
        <v>0.0</v>
      </c>
      <c r="S24" s="30">
        <v>0.0</v>
      </c>
      <c r="T24" s="30">
        <v>0.0</v>
      </c>
      <c r="U24" s="30">
        <v>0.0</v>
      </c>
    </row>
    <row r="25" ht="15.0" customHeight="1">
      <c r="A25" s="1"/>
      <c r="B25" s="23" t="s">
        <v>31</v>
      </c>
      <c r="C25" s="8"/>
      <c r="D25" s="8"/>
      <c r="E25" s="24">
        <f t="shared" ref="E25:G25" si="9">E12+E17+E21</f>
        <v>13760.73</v>
      </c>
      <c r="F25" s="24">
        <f t="shared" si="9"/>
        <v>12347.68</v>
      </c>
      <c r="G25" s="24">
        <f t="shared" si="9"/>
        <v>16119.9</v>
      </c>
      <c r="H25" s="25">
        <f>H21+H17+H12</f>
        <v>14096.09</v>
      </c>
      <c r="I25" s="24">
        <f t="shared" ref="I25:U25" si="10">I12+I17+I21</f>
        <v>17120.15203</v>
      </c>
      <c r="J25" s="24">
        <f t="shared" si="10"/>
        <v>15486.00905</v>
      </c>
      <c r="K25" s="24">
        <f t="shared" si="10"/>
        <v>15710.35325</v>
      </c>
      <c r="L25" s="24">
        <f t="shared" si="10"/>
        <v>13882.27877</v>
      </c>
      <c r="M25" s="24">
        <f t="shared" si="10"/>
        <v>15533.53348</v>
      </c>
      <c r="N25" s="24">
        <f t="shared" si="10"/>
        <v>14016.79549</v>
      </c>
      <c r="O25" s="24">
        <f t="shared" si="10"/>
        <v>14183.64425</v>
      </c>
      <c r="P25" s="24">
        <f t="shared" si="10"/>
        <v>13828.29495</v>
      </c>
      <c r="Q25" s="24">
        <f t="shared" si="10"/>
        <v>12153.96577</v>
      </c>
      <c r="R25" s="24">
        <f t="shared" si="10"/>
        <v>13550.2603</v>
      </c>
      <c r="S25" s="24">
        <f t="shared" si="10"/>
        <v>12180.27854</v>
      </c>
      <c r="T25" s="24">
        <f t="shared" si="10"/>
        <v>12275.25799</v>
      </c>
      <c r="U25" s="24">
        <f t="shared" si="10"/>
        <v>10771.31537</v>
      </c>
    </row>
    <row r="26" ht="15.75" customHeight="1">
      <c r="A26" s="1"/>
      <c r="B26" s="1"/>
      <c r="C26" s="1"/>
      <c r="D26" s="1"/>
      <c r="E26" s="20"/>
      <c r="F26" s="20"/>
      <c r="G26" s="20"/>
      <c r="H26" s="21" t="s">
        <v>2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5.0" customHeight="1">
      <c r="A27" s="1"/>
      <c r="B27" s="22" t="s">
        <v>32</v>
      </c>
      <c r="E27" s="20"/>
      <c r="F27" s="20"/>
      <c r="G27" s="20"/>
      <c r="H27" s="21" t="s">
        <v>2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5.0" customHeight="1">
      <c r="A28" s="1"/>
      <c r="B28" s="1"/>
      <c r="C28" s="23" t="s">
        <v>33</v>
      </c>
      <c r="D28" s="8"/>
      <c r="E28" s="24">
        <f t="shared" ref="E28:U28" si="11">-SUM(E29:E43)</f>
        <v>-6894.36</v>
      </c>
      <c r="F28" s="24">
        <f t="shared" si="11"/>
        <v>-6842.95</v>
      </c>
      <c r="G28" s="24">
        <f t="shared" si="11"/>
        <v>-7177.22</v>
      </c>
      <c r="H28" s="25">
        <f t="shared" si="11"/>
        <v>-10592.09</v>
      </c>
      <c r="I28" s="24">
        <f t="shared" si="11"/>
        <v>-7506.308182</v>
      </c>
      <c r="J28" s="24">
        <f t="shared" si="11"/>
        <v>-13008.85061</v>
      </c>
      <c r="K28" s="24">
        <f t="shared" si="11"/>
        <v>-9130.745573</v>
      </c>
      <c r="L28" s="24">
        <f t="shared" si="11"/>
        <v>-8146.636493</v>
      </c>
      <c r="M28" s="24">
        <f t="shared" si="11"/>
        <v>-7788.457578</v>
      </c>
      <c r="N28" s="24">
        <f t="shared" si="11"/>
        <v>-9604.338498</v>
      </c>
      <c r="O28" s="24">
        <f t="shared" si="11"/>
        <v>-9127.730782</v>
      </c>
      <c r="P28" s="24">
        <f t="shared" si="11"/>
        <v>-12834.55195</v>
      </c>
      <c r="Q28" s="24">
        <f t="shared" si="11"/>
        <v>-8142.760235</v>
      </c>
      <c r="R28" s="24">
        <f t="shared" si="11"/>
        <v>-7568.424322</v>
      </c>
      <c r="S28" s="24">
        <f t="shared" si="11"/>
        <v>-9598.698358</v>
      </c>
      <c r="T28" s="24">
        <f t="shared" si="11"/>
        <v>-9123.962292</v>
      </c>
      <c r="U28" s="24">
        <f t="shared" si="11"/>
        <v>-8139.659229</v>
      </c>
    </row>
    <row r="29" ht="15.75" customHeight="1" outlineLevel="1">
      <c r="A29" s="1"/>
      <c r="B29" s="1"/>
      <c r="C29" s="1"/>
      <c r="D29" s="33" t="s">
        <v>34</v>
      </c>
      <c r="E29" s="34">
        <v>1346.15</v>
      </c>
      <c r="F29" s="34">
        <v>1346.15</v>
      </c>
      <c r="G29" s="34">
        <v>1346.15</v>
      </c>
      <c r="H29" s="35">
        <v>1346.15</v>
      </c>
      <c r="I29" s="36">
        <v>2727.963333333333</v>
      </c>
      <c r="J29" s="36">
        <v>2204.483333333333</v>
      </c>
      <c r="K29" s="36">
        <v>2831.17</v>
      </c>
      <c r="L29" s="36">
        <v>2204.483333333333</v>
      </c>
      <c r="M29" s="36">
        <v>2727.963333333333</v>
      </c>
      <c r="N29" s="36">
        <v>2204.483333333333</v>
      </c>
      <c r="O29" s="36">
        <v>2831.169999999999</v>
      </c>
      <c r="P29" s="36">
        <v>4864.322499999998</v>
      </c>
      <c r="Q29" s="36">
        <v>2204.483333333332</v>
      </c>
      <c r="R29" s="36">
        <v>2727.963333333332</v>
      </c>
      <c r="S29" s="36">
        <v>2204.483333333332</v>
      </c>
      <c r="T29" s="36">
        <v>2831.169999999998</v>
      </c>
      <c r="U29" s="36">
        <v>2204.483333333332</v>
      </c>
    </row>
    <row r="30" ht="15.75" customHeight="1" outlineLevel="1">
      <c r="A30" s="1"/>
      <c r="B30" s="1"/>
      <c r="C30" s="1"/>
      <c r="D30" s="33" t="s">
        <v>35</v>
      </c>
      <c r="E30" s="33">
        <v>0.0</v>
      </c>
      <c r="F30" s="33">
        <v>0.0</v>
      </c>
      <c r="G30" s="33">
        <v>58.33</v>
      </c>
      <c r="H30" s="37">
        <v>0.0</v>
      </c>
      <c r="I30" s="30">
        <v>0.0</v>
      </c>
      <c r="J30" s="30">
        <v>0.0</v>
      </c>
      <c r="K30" s="30">
        <v>58.4</v>
      </c>
      <c r="L30" s="30">
        <v>0.0</v>
      </c>
      <c r="M30" s="30">
        <v>0.0</v>
      </c>
      <c r="N30" s="30">
        <v>0.0</v>
      </c>
      <c r="O30" s="30">
        <v>58.4</v>
      </c>
      <c r="P30" s="30">
        <v>0.0</v>
      </c>
      <c r="Q30" s="30">
        <v>0.0</v>
      </c>
      <c r="R30" s="30">
        <v>0.0</v>
      </c>
      <c r="S30" s="30">
        <v>0.0</v>
      </c>
      <c r="T30" s="30">
        <v>58.4</v>
      </c>
      <c r="U30" s="30">
        <v>0.0</v>
      </c>
    </row>
    <row r="31" ht="15.75" customHeight="1" outlineLevel="1">
      <c r="A31" s="1"/>
      <c r="B31" s="1"/>
      <c r="C31" s="1"/>
      <c r="D31" s="20" t="s">
        <v>36</v>
      </c>
      <c r="E31" s="20">
        <v>0.0</v>
      </c>
      <c r="F31" s="20">
        <v>197.5</v>
      </c>
      <c r="G31" s="20">
        <v>93.25</v>
      </c>
      <c r="H31" s="37">
        <v>0.0</v>
      </c>
      <c r="I31" s="30">
        <v>0.0</v>
      </c>
      <c r="J31" s="30">
        <v>0.0</v>
      </c>
      <c r="K31" s="30">
        <v>94.075</v>
      </c>
      <c r="L31" s="30">
        <v>0.0</v>
      </c>
      <c r="M31" s="30">
        <v>0.0</v>
      </c>
      <c r="N31" s="30">
        <v>0.0</v>
      </c>
      <c r="O31" s="30">
        <v>94.075</v>
      </c>
      <c r="P31" s="30">
        <v>94.075</v>
      </c>
      <c r="Q31" s="30">
        <v>0.0</v>
      </c>
      <c r="R31" s="30">
        <v>0.0</v>
      </c>
      <c r="S31" s="30">
        <v>0.0</v>
      </c>
      <c r="T31" s="30">
        <v>94.075</v>
      </c>
      <c r="U31" s="30">
        <v>0.0</v>
      </c>
    </row>
    <row r="32" ht="15.75" customHeight="1" outlineLevel="1">
      <c r="A32" s="1"/>
      <c r="B32" s="1"/>
      <c r="C32" s="1"/>
      <c r="D32" s="20" t="s">
        <v>37</v>
      </c>
      <c r="E32" s="20">
        <v>150.0</v>
      </c>
      <c r="F32" s="20">
        <v>0.0</v>
      </c>
      <c r="G32" s="20">
        <v>0.0</v>
      </c>
      <c r="H32" s="37">
        <v>0.0</v>
      </c>
      <c r="I32" s="30">
        <v>0.0</v>
      </c>
      <c r="J32" s="30">
        <v>150.0</v>
      </c>
      <c r="K32" s="30">
        <v>0.0</v>
      </c>
      <c r="L32" s="30">
        <v>100.0</v>
      </c>
      <c r="M32" s="30">
        <v>0.0</v>
      </c>
      <c r="N32" s="30">
        <v>150.0</v>
      </c>
      <c r="O32" s="30">
        <v>0.0</v>
      </c>
      <c r="P32" s="30">
        <v>50.0</v>
      </c>
      <c r="Q32" s="30">
        <v>100.0</v>
      </c>
      <c r="R32" s="30">
        <v>0.0</v>
      </c>
      <c r="S32" s="30">
        <v>150.0</v>
      </c>
      <c r="T32" s="30">
        <v>0.0</v>
      </c>
      <c r="U32" s="30">
        <v>100.0</v>
      </c>
    </row>
    <row r="33" ht="15.75" customHeight="1" outlineLevel="1">
      <c r="A33" s="1"/>
      <c r="B33" s="1"/>
      <c r="C33" s="1"/>
      <c r="D33" s="33" t="s">
        <v>38</v>
      </c>
      <c r="E33" s="20">
        <v>3854.31</v>
      </c>
      <c r="F33" s="20">
        <v>3854.31</v>
      </c>
      <c r="G33" s="20">
        <v>3854.32</v>
      </c>
      <c r="H33" s="37">
        <v>3854.3</v>
      </c>
      <c r="I33" s="30">
        <v>4125.079848851249</v>
      </c>
      <c r="J33" s="30">
        <v>6528.302277121957</v>
      </c>
      <c r="K33" s="30">
        <v>4361.165573051446</v>
      </c>
      <c r="L33" s="30">
        <v>4485.108160090634</v>
      </c>
      <c r="M33" s="30">
        <v>4122.229244256244</v>
      </c>
      <c r="N33" s="30">
        <v>6523.790164699203</v>
      </c>
      <c r="O33" s="30">
        <v>4358.150781564485</v>
      </c>
      <c r="P33" s="30">
        <v>4327.379454160396</v>
      </c>
      <c r="Q33" s="30">
        <v>4481.231901870593</v>
      </c>
      <c r="R33" s="30">
        <v>4118.665988512486</v>
      </c>
      <c r="S33" s="30">
        <v>6518.150024170762</v>
      </c>
      <c r="T33" s="30">
        <v>4354.382292205783</v>
      </c>
      <c r="U33" s="30">
        <v>4478.13089529456</v>
      </c>
    </row>
    <row r="34" ht="15.75" customHeight="1" outlineLevel="1">
      <c r="A34" s="1"/>
      <c r="B34" s="1"/>
      <c r="C34" s="1"/>
      <c r="D34" s="20" t="s">
        <v>39</v>
      </c>
      <c r="E34" s="20">
        <v>0.0</v>
      </c>
      <c r="F34" s="20">
        <v>0.0</v>
      </c>
      <c r="G34" s="20">
        <v>0.0</v>
      </c>
      <c r="H34" s="37">
        <v>10.66</v>
      </c>
      <c r="I34" s="30">
        <v>0.0</v>
      </c>
      <c r="J34" s="30">
        <v>0.0</v>
      </c>
      <c r="K34" s="30">
        <v>0.0</v>
      </c>
      <c r="L34" s="30">
        <v>10.66</v>
      </c>
      <c r="M34" s="30">
        <v>0.0</v>
      </c>
      <c r="N34" s="30">
        <v>0.0</v>
      </c>
      <c r="O34" s="30">
        <v>0.0</v>
      </c>
      <c r="P34" s="30">
        <v>0.0</v>
      </c>
      <c r="Q34" s="30">
        <v>10.66</v>
      </c>
      <c r="R34" s="30">
        <v>0.0</v>
      </c>
      <c r="S34" s="30">
        <v>0.0</v>
      </c>
      <c r="T34" s="30">
        <v>0.0</v>
      </c>
      <c r="U34" s="30">
        <v>10.66</v>
      </c>
    </row>
    <row r="35" ht="15.75" customHeight="1" outlineLevel="1">
      <c r="A35" s="1"/>
      <c r="B35" s="1"/>
      <c r="C35" s="1"/>
      <c r="D35" s="20" t="s">
        <v>40</v>
      </c>
      <c r="E35" s="20">
        <v>0.0</v>
      </c>
      <c r="F35" s="20">
        <v>0.0</v>
      </c>
      <c r="G35" s="20">
        <v>0.0</v>
      </c>
      <c r="H35" s="37">
        <v>434.0</v>
      </c>
      <c r="I35" s="30">
        <v>0.0</v>
      </c>
      <c r="J35" s="30">
        <v>0.0</v>
      </c>
      <c r="K35" s="30">
        <v>0.0</v>
      </c>
      <c r="L35" s="30">
        <v>448.0</v>
      </c>
      <c r="M35" s="30">
        <v>0.0</v>
      </c>
      <c r="N35" s="30">
        <v>0.0</v>
      </c>
      <c r="O35" s="30">
        <v>0.0</v>
      </c>
      <c r="P35" s="30">
        <v>0.0</v>
      </c>
      <c r="Q35" s="30">
        <v>448.0</v>
      </c>
      <c r="R35" s="30">
        <v>0.0</v>
      </c>
      <c r="S35" s="30">
        <v>0.0</v>
      </c>
      <c r="T35" s="30">
        <v>0.0</v>
      </c>
      <c r="U35" s="30">
        <v>448.0</v>
      </c>
    </row>
    <row r="36" ht="15.75" customHeight="1" outlineLevel="1">
      <c r="A36" s="1"/>
      <c r="B36" s="1"/>
      <c r="C36" s="1"/>
      <c r="D36" s="20" t="s">
        <v>41</v>
      </c>
      <c r="E36" s="20">
        <v>0.0</v>
      </c>
      <c r="F36" s="20">
        <v>0.0</v>
      </c>
      <c r="G36" s="20">
        <v>500.0</v>
      </c>
      <c r="H36" s="37">
        <v>0.0</v>
      </c>
      <c r="I36" s="30">
        <v>0.0</v>
      </c>
      <c r="J36" s="30">
        <v>0.0</v>
      </c>
      <c r="K36" s="30">
        <v>0.0</v>
      </c>
      <c r="L36" s="30">
        <v>0.0</v>
      </c>
      <c r="M36" s="30">
        <v>0.0</v>
      </c>
      <c r="N36" s="30">
        <v>0.0</v>
      </c>
      <c r="O36" s="30">
        <v>0.0</v>
      </c>
      <c r="P36" s="30">
        <v>500.0</v>
      </c>
      <c r="Q36" s="30">
        <v>0.0</v>
      </c>
      <c r="R36" s="30">
        <v>0.0</v>
      </c>
      <c r="S36" s="30">
        <v>0.0</v>
      </c>
      <c r="T36" s="30">
        <v>0.0</v>
      </c>
      <c r="U36" s="30">
        <v>0.0</v>
      </c>
    </row>
    <row r="37" ht="15.75" customHeight="1" outlineLevel="1">
      <c r="A37" s="1"/>
      <c r="B37" s="1"/>
      <c r="C37" s="1"/>
      <c r="D37" s="20" t="s">
        <v>42</v>
      </c>
      <c r="E37" s="20">
        <v>0.0</v>
      </c>
      <c r="F37" s="20">
        <v>0.0</v>
      </c>
      <c r="G37" s="20">
        <v>0.0</v>
      </c>
      <c r="H37" s="37">
        <v>2878.44</v>
      </c>
      <c r="I37" s="30">
        <v>0.0</v>
      </c>
      <c r="J37" s="30">
        <v>0.0</v>
      </c>
      <c r="K37" s="30">
        <v>1078.655</v>
      </c>
      <c r="L37" s="30">
        <v>0.0</v>
      </c>
      <c r="M37" s="30">
        <v>0.0</v>
      </c>
      <c r="N37" s="30">
        <v>0.0</v>
      </c>
      <c r="O37" s="30">
        <v>1078.655</v>
      </c>
      <c r="P37" s="30">
        <v>2517.875</v>
      </c>
      <c r="Q37" s="30">
        <v>0.0</v>
      </c>
      <c r="R37" s="30">
        <v>0.0</v>
      </c>
      <c r="S37" s="30">
        <v>0.0</v>
      </c>
      <c r="T37" s="30">
        <v>1078.655</v>
      </c>
      <c r="U37" s="30">
        <v>0.0</v>
      </c>
    </row>
    <row r="38" ht="15.75" customHeight="1" outlineLevel="1">
      <c r="A38" s="1"/>
      <c r="B38" s="1"/>
      <c r="C38" s="1"/>
      <c r="D38" s="33" t="s">
        <v>43</v>
      </c>
      <c r="E38" s="38">
        <v>1084.9</v>
      </c>
      <c r="F38" s="20">
        <v>1084.9</v>
      </c>
      <c r="G38" s="20">
        <v>1084.9</v>
      </c>
      <c r="H38" s="37">
        <v>1068.54</v>
      </c>
      <c r="I38" s="30">
        <v>423.765</v>
      </c>
      <c r="J38" s="30">
        <v>394.185</v>
      </c>
      <c r="K38" s="30">
        <v>664.78</v>
      </c>
      <c r="L38" s="30">
        <v>898.385</v>
      </c>
      <c r="M38" s="30">
        <v>423.765</v>
      </c>
      <c r="N38" s="30">
        <v>394.185</v>
      </c>
      <c r="O38" s="30">
        <v>664.78</v>
      </c>
      <c r="P38" s="30">
        <v>394.195</v>
      </c>
      <c r="Q38" s="30">
        <v>898.385</v>
      </c>
      <c r="R38" s="30">
        <v>423.765</v>
      </c>
      <c r="S38" s="30">
        <v>394.185</v>
      </c>
      <c r="T38" s="30">
        <v>664.78</v>
      </c>
      <c r="U38" s="30">
        <v>898.385</v>
      </c>
    </row>
    <row r="39" ht="15.75" customHeight="1" outlineLevel="1">
      <c r="A39" s="1"/>
      <c r="B39" s="1"/>
      <c r="C39" s="1"/>
      <c r="D39" s="20" t="s">
        <v>44</v>
      </c>
      <c r="E39" s="20">
        <v>0.0</v>
      </c>
      <c r="F39" s="20">
        <v>20.34</v>
      </c>
      <c r="G39" s="20">
        <v>46.79</v>
      </c>
      <c r="H39" s="37">
        <v>0.0</v>
      </c>
      <c r="I39" s="30">
        <v>0.0</v>
      </c>
      <c r="J39" s="30">
        <v>0.0</v>
      </c>
      <c r="K39" s="30">
        <v>0.0</v>
      </c>
      <c r="L39" s="30">
        <v>0.0</v>
      </c>
      <c r="M39" s="30">
        <v>0.0</v>
      </c>
      <c r="N39" s="30">
        <v>0.0</v>
      </c>
      <c r="O39" s="30">
        <v>0.0</v>
      </c>
      <c r="P39" s="30">
        <v>0.0</v>
      </c>
      <c r="Q39" s="30">
        <v>0.0</v>
      </c>
      <c r="R39" s="30">
        <v>68.53</v>
      </c>
      <c r="S39" s="30">
        <v>0.0</v>
      </c>
      <c r="T39" s="30">
        <v>0.0</v>
      </c>
      <c r="U39" s="30">
        <v>0.0</v>
      </c>
    </row>
    <row r="40" ht="15.75" customHeight="1" outlineLevel="1">
      <c r="A40" s="1"/>
      <c r="B40" s="1"/>
      <c r="C40" s="1"/>
      <c r="D40" s="20" t="s">
        <v>45</v>
      </c>
      <c r="E40" s="20">
        <v>0.0</v>
      </c>
      <c r="F40" s="20">
        <v>0.0</v>
      </c>
      <c r="G40" s="20">
        <v>0.0</v>
      </c>
      <c r="H40" s="37">
        <v>1000.0</v>
      </c>
      <c r="I40" s="30">
        <v>0.0</v>
      </c>
      <c r="J40" s="30">
        <v>3400.0</v>
      </c>
      <c r="K40" s="30">
        <v>0.0</v>
      </c>
      <c r="L40" s="30">
        <v>0.0</v>
      </c>
      <c r="M40" s="30">
        <v>285.0</v>
      </c>
      <c r="N40" s="30">
        <v>0.0</v>
      </c>
      <c r="O40" s="30">
        <v>0.0</v>
      </c>
      <c r="P40" s="30">
        <v>0.0</v>
      </c>
      <c r="Q40" s="30">
        <v>0.0</v>
      </c>
      <c r="R40" s="30">
        <v>0.0</v>
      </c>
      <c r="S40" s="30">
        <v>0.0</v>
      </c>
      <c r="T40" s="30">
        <v>0.0</v>
      </c>
      <c r="U40" s="30">
        <v>0.0</v>
      </c>
    </row>
    <row r="41" ht="15.75" customHeight="1" outlineLevel="1">
      <c r="A41" s="1"/>
      <c r="B41" s="1"/>
      <c r="C41" s="1"/>
      <c r="D41" s="20" t="s">
        <v>46</v>
      </c>
      <c r="E41" s="20">
        <v>0.0</v>
      </c>
      <c r="F41" s="20">
        <v>0.0</v>
      </c>
      <c r="G41" s="20">
        <v>57.48</v>
      </c>
      <c r="H41" s="37">
        <v>0.0</v>
      </c>
      <c r="I41" s="30">
        <v>0.0</v>
      </c>
      <c r="J41" s="30">
        <v>0.0</v>
      </c>
      <c r="K41" s="30">
        <v>27.5</v>
      </c>
      <c r="L41" s="30">
        <v>0.0</v>
      </c>
      <c r="M41" s="30">
        <v>0.0</v>
      </c>
      <c r="N41" s="30">
        <v>0.0</v>
      </c>
      <c r="O41" s="30">
        <v>27.5</v>
      </c>
      <c r="P41" s="30">
        <v>86.705</v>
      </c>
      <c r="Q41" s="30">
        <v>0.0</v>
      </c>
      <c r="R41" s="30">
        <v>0.0</v>
      </c>
      <c r="S41" s="30">
        <v>0.0</v>
      </c>
      <c r="T41" s="30">
        <v>27.5</v>
      </c>
      <c r="U41" s="30">
        <v>0.0</v>
      </c>
    </row>
    <row r="42" ht="15.75" customHeight="1" outlineLevel="1">
      <c r="A42" s="1"/>
      <c r="B42" s="1"/>
      <c r="C42" s="1"/>
      <c r="D42" s="20" t="s">
        <v>47</v>
      </c>
      <c r="E42" s="20">
        <v>0.0</v>
      </c>
      <c r="F42" s="20">
        <v>0.0</v>
      </c>
      <c r="G42" s="20">
        <v>121.0</v>
      </c>
      <c r="H42" s="37">
        <v>0.0</v>
      </c>
      <c r="I42" s="30">
        <v>0.0</v>
      </c>
      <c r="J42" s="30">
        <v>0.0</v>
      </c>
      <c r="K42" s="30">
        <v>0.0</v>
      </c>
      <c r="L42" s="30">
        <v>0.0</v>
      </c>
      <c r="M42" s="30">
        <v>0.0</v>
      </c>
      <c r="N42" s="30">
        <v>0.0</v>
      </c>
      <c r="O42" s="30">
        <v>0.0</v>
      </c>
      <c r="P42" s="30">
        <v>0.0</v>
      </c>
      <c r="Q42" s="30">
        <v>0.0</v>
      </c>
      <c r="R42" s="30">
        <v>0.0</v>
      </c>
      <c r="S42" s="30">
        <v>0.0</v>
      </c>
      <c r="T42" s="30">
        <v>0.0</v>
      </c>
      <c r="U42" s="30">
        <v>0.0</v>
      </c>
    </row>
    <row r="43" ht="15.75" customHeight="1">
      <c r="A43" s="1"/>
      <c r="B43" s="1"/>
      <c r="C43" s="1"/>
      <c r="D43" s="1" t="s">
        <v>48</v>
      </c>
      <c r="E43" s="20">
        <v>459.0</v>
      </c>
      <c r="F43" s="20">
        <v>339.75</v>
      </c>
      <c r="G43" s="20">
        <v>15.0</v>
      </c>
      <c r="H43" s="21">
        <v>0.0</v>
      </c>
      <c r="I43" s="36">
        <v>229.5</v>
      </c>
      <c r="J43" s="36">
        <v>331.88</v>
      </c>
      <c r="K43" s="36">
        <v>15.0</v>
      </c>
      <c r="L43" s="36">
        <v>0.0</v>
      </c>
      <c r="M43" s="36">
        <v>229.5</v>
      </c>
      <c r="N43" s="36">
        <v>331.88</v>
      </c>
      <c r="O43" s="36">
        <v>15.0</v>
      </c>
      <c r="P43" s="36">
        <v>0.0</v>
      </c>
      <c r="Q43" s="36">
        <v>0.0</v>
      </c>
      <c r="R43" s="36">
        <v>229.5</v>
      </c>
      <c r="S43" s="36">
        <v>331.88</v>
      </c>
      <c r="T43" s="36">
        <v>15.0</v>
      </c>
      <c r="U43" s="36">
        <v>0.0</v>
      </c>
    </row>
    <row r="44" ht="15.75" customHeight="1">
      <c r="A44" s="1"/>
      <c r="B44" s="1"/>
      <c r="C44" s="1"/>
      <c r="D44" s="28" t="s">
        <v>49</v>
      </c>
      <c r="E44" s="29">
        <v>0.0</v>
      </c>
      <c r="F44" s="29">
        <v>0.0</v>
      </c>
      <c r="G44" s="29">
        <v>0.0</v>
      </c>
      <c r="H44" s="29">
        <v>0.0</v>
      </c>
      <c r="I44" s="30">
        <v>0.0</v>
      </c>
      <c r="J44" s="30">
        <v>0.0</v>
      </c>
      <c r="K44" s="30">
        <v>0.0</v>
      </c>
      <c r="L44" s="30">
        <v>0.0</v>
      </c>
      <c r="M44" s="30">
        <v>0.0</v>
      </c>
      <c r="N44" s="30">
        <v>0.0</v>
      </c>
      <c r="O44" s="30">
        <v>0.0</v>
      </c>
      <c r="P44" s="30">
        <v>0.0</v>
      </c>
      <c r="Q44" s="30">
        <v>0.0</v>
      </c>
      <c r="R44" s="30">
        <v>0.0</v>
      </c>
      <c r="S44" s="30">
        <v>0.0</v>
      </c>
      <c r="T44" s="30">
        <v>0.0</v>
      </c>
      <c r="U44" s="30">
        <v>0.0</v>
      </c>
    </row>
    <row r="45" ht="15.75" customHeight="1">
      <c r="A45" s="1"/>
      <c r="B45" s="1"/>
      <c r="C45" s="1"/>
      <c r="D45" s="28" t="s">
        <v>50</v>
      </c>
      <c r="E45" s="29">
        <v>0.0</v>
      </c>
      <c r="F45" s="29">
        <v>0.0</v>
      </c>
      <c r="G45" s="29">
        <v>0.0</v>
      </c>
      <c r="H45" s="29">
        <v>0.0</v>
      </c>
      <c r="I45" s="30">
        <v>0.0</v>
      </c>
      <c r="J45" s="30">
        <v>0.0</v>
      </c>
      <c r="K45" s="30">
        <v>0.0</v>
      </c>
      <c r="L45" s="30">
        <v>0.0</v>
      </c>
      <c r="M45" s="30">
        <v>0.0</v>
      </c>
      <c r="N45" s="30">
        <v>0.0</v>
      </c>
      <c r="O45" s="30">
        <v>0.0</v>
      </c>
      <c r="P45" s="30">
        <v>0.0</v>
      </c>
      <c r="Q45" s="30">
        <v>0.0</v>
      </c>
      <c r="R45" s="30">
        <v>0.0</v>
      </c>
      <c r="S45" s="30">
        <v>0.0</v>
      </c>
      <c r="T45" s="30">
        <v>0.0</v>
      </c>
      <c r="U45" s="30">
        <v>0.0</v>
      </c>
    </row>
    <row r="46" ht="15.75" customHeight="1">
      <c r="A46" s="1"/>
      <c r="B46" s="1"/>
      <c r="C46" s="1"/>
      <c r="D46" s="28" t="s">
        <v>51</v>
      </c>
      <c r="E46" s="29">
        <v>0.0</v>
      </c>
      <c r="F46" s="29">
        <v>0.0</v>
      </c>
      <c r="G46" s="29">
        <v>0.0</v>
      </c>
      <c r="H46" s="29">
        <v>0.0</v>
      </c>
      <c r="I46" s="30">
        <v>0.0</v>
      </c>
      <c r="J46" s="30">
        <v>0.0</v>
      </c>
      <c r="K46" s="30">
        <v>0.0</v>
      </c>
      <c r="L46" s="30">
        <v>0.0</v>
      </c>
      <c r="M46" s="30">
        <v>0.0</v>
      </c>
      <c r="N46" s="30">
        <v>0.0</v>
      </c>
      <c r="O46" s="30">
        <v>0.0</v>
      </c>
      <c r="P46" s="30">
        <v>0.0</v>
      </c>
      <c r="Q46" s="30">
        <v>0.0</v>
      </c>
      <c r="R46" s="30">
        <v>0.0</v>
      </c>
      <c r="S46" s="30">
        <v>0.0</v>
      </c>
      <c r="T46" s="30">
        <v>0.0</v>
      </c>
      <c r="U46" s="30">
        <v>0.0</v>
      </c>
    </row>
    <row r="47" ht="15.0" customHeight="1">
      <c r="A47" s="1"/>
      <c r="B47" s="1"/>
      <c r="C47" s="23" t="s">
        <v>52</v>
      </c>
      <c r="D47" s="8"/>
      <c r="E47" s="24">
        <f t="shared" ref="E47:U47" si="12">-SUM(E48:E54)</f>
        <v>-17001.86</v>
      </c>
      <c r="F47" s="24">
        <f t="shared" si="12"/>
        <v>-1000</v>
      </c>
      <c r="G47" s="24">
        <f t="shared" si="12"/>
        <v>-14465.38</v>
      </c>
      <c r="H47" s="25">
        <f t="shared" si="12"/>
        <v>-2907.43</v>
      </c>
      <c r="I47" s="24">
        <f t="shared" si="12"/>
        <v>-6731.376503</v>
      </c>
      <c r="J47" s="24">
        <f t="shared" si="12"/>
        <v>-1755.839307</v>
      </c>
      <c r="K47" s="24">
        <f t="shared" si="12"/>
        <v>-12145.32436</v>
      </c>
      <c r="L47" s="24">
        <f t="shared" si="12"/>
        <v>-2123.141731</v>
      </c>
      <c r="M47" s="24">
        <f t="shared" si="12"/>
        <v>-6918.359184</v>
      </c>
      <c r="N47" s="24">
        <f t="shared" si="12"/>
        <v>-1804.276253</v>
      </c>
      <c r="O47" s="24">
        <f t="shared" si="12"/>
        <v>-12200.45462</v>
      </c>
      <c r="P47" s="24">
        <f t="shared" si="12"/>
        <v>-31064.99988</v>
      </c>
      <c r="Q47" s="24">
        <f t="shared" si="12"/>
        <v>-2195.357436</v>
      </c>
      <c r="R47" s="24">
        <f t="shared" si="12"/>
        <v>-7152.087535</v>
      </c>
      <c r="S47" s="24">
        <f t="shared" si="12"/>
        <v>-1864.822436</v>
      </c>
      <c r="T47" s="24">
        <f t="shared" si="12"/>
        <v>-12269.36744</v>
      </c>
      <c r="U47" s="24">
        <f t="shared" si="12"/>
        <v>-2253.13</v>
      </c>
    </row>
    <row r="48" ht="15.75" customHeight="1" outlineLevel="1">
      <c r="A48" s="1"/>
      <c r="B48" s="1"/>
      <c r="C48" s="1"/>
      <c r="D48" s="20" t="s">
        <v>53</v>
      </c>
      <c r="E48" s="20">
        <v>0.0</v>
      </c>
      <c r="F48" s="20">
        <v>0.0</v>
      </c>
      <c r="G48" s="20">
        <v>10133.07</v>
      </c>
      <c r="H48" s="37">
        <v>0.0</v>
      </c>
      <c r="I48" s="30">
        <v>0.0</v>
      </c>
      <c r="J48" s="30">
        <v>0.0</v>
      </c>
      <c r="K48" s="30">
        <v>10133.07</v>
      </c>
      <c r="L48" s="30">
        <v>0.0</v>
      </c>
      <c r="M48" s="30">
        <v>0.0</v>
      </c>
      <c r="N48" s="30">
        <v>0.0</v>
      </c>
      <c r="O48" s="30">
        <v>10133.07</v>
      </c>
      <c r="P48" s="30">
        <v>6341.725</v>
      </c>
      <c r="Q48" s="30">
        <v>0.0</v>
      </c>
      <c r="R48" s="30">
        <v>0.0</v>
      </c>
      <c r="S48" s="30">
        <v>0.0</v>
      </c>
      <c r="T48" s="30">
        <v>10133.07</v>
      </c>
      <c r="U48" s="30">
        <v>0.0</v>
      </c>
      <c r="V48" s="39"/>
    </row>
    <row r="49" ht="15.75" customHeight="1" outlineLevel="1">
      <c r="A49" s="1"/>
      <c r="B49" s="1"/>
      <c r="C49" s="1"/>
      <c r="D49" s="20" t="s">
        <v>54</v>
      </c>
      <c r="E49" s="20">
        <v>6000.0</v>
      </c>
      <c r="F49" s="20">
        <v>0.0</v>
      </c>
      <c r="G49" s="20">
        <v>1460.88</v>
      </c>
      <c r="H49" s="37">
        <v>0.0</v>
      </c>
      <c r="I49" s="30">
        <v>0.0</v>
      </c>
      <c r="J49" s="30">
        <v>0.0</v>
      </c>
      <c r="K49" s="30">
        <v>0.0</v>
      </c>
      <c r="L49" s="30">
        <v>0.0</v>
      </c>
      <c r="M49" s="30">
        <v>0.0</v>
      </c>
      <c r="N49" s="30">
        <v>0.0</v>
      </c>
      <c r="O49" s="30">
        <v>0.0</v>
      </c>
      <c r="P49" s="30">
        <v>0.0</v>
      </c>
      <c r="Q49" s="30">
        <v>0.0</v>
      </c>
      <c r="R49" s="30">
        <v>0.0</v>
      </c>
      <c r="S49" s="30">
        <v>0.0</v>
      </c>
      <c r="T49" s="30">
        <v>0.0</v>
      </c>
      <c r="U49" s="30">
        <v>0.0</v>
      </c>
    </row>
    <row r="50" ht="15.75" customHeight="1" outlineLevel="1">
      <c r="A50" s="1"/>
      <c r="B50" s="1"/>
      <c r="C50" s="1"/>
      <c r="D50" s="20" t="s">
        <v>55</v>
      </c>
      <c r="E50" s="20">
        <v>500.0</v>
      </c>
      <c r="F50" s="20">
        <v>0.0</v>
      </c>
      <c r="G50" s="20">
        <v>0.0</v>
      </c>
      <c r="H50" s="37">
        <v>0.0</v>
      </c>
      <c r="I50" s="30">
        <v>0.0</v>
      </c>
      <c r="J50" s="30">
        <v>0.0</v>
      </c>
      <c r="K50" s="30">
        <v>0.0</v>
      </c>
      <c r="L50" s="30">
        <v>0.0</v>
      </c>
      <c r="M50" s="30">
        <v>0.0</v>
      </c>
      <c r="N50" s="30">
        <v>0.0</v>
      </c>
      <c r="O50" s="30">
        <v>0.0</v>
      </c>
      <c r="P50" s="30">
        <v>0.0</v>
      </c>
      <c r="Q50" s="30">
        <v>0.0</v>
      </c>
      <c r="R50" s="30">
        <v>0.0</v>
      </c>
      <c r="S50" s="30">
        <v>0.0</v>
      </c>
      <c r="T50" s="30">
        <v>0.0</v>
      </c>
      <c r="U50" s="30">
        <v>0.0</v>
      </c>
    </row>
    <row r="51" ht="15.75" customHeight="1" outlineLevel="1">
      <c r="A51" s="1"/>
      <c r="B51" s="1"/>
      <c r="C51" s="1"/>
      <c r="D51" s="20" t="s">
        <v>56</v>
      </c>
      <c r="E51" s="20">
        <v>4259.0</v>
      </c>
      <c r="F51" s="20">
        <v>0.0</v>
      </c>
      <c r="G51" s="20">
        <v>0.0</v>
      </c>
      <c r="H51" s="37">
        <v>0.0</v>
      </c>
      <c r="I51" s="30">
        <v>0.0</v>
      </c>
      <c r="J51" s="30">
        <v>0.0</v>
      </c>
      <c r="K51" s="30">
        <v>0.0</v>
      </c>
      <c r="L51" s="30">
        <v>0.0</v>
      </c>
      <c r="M51" s="30">
        <v>0.0</v>
      </c>
      <c r="N51" s="30">
        <v>0.0</v>
      </c>
      <c r="O51" s="30">
        <v>0.0</v>
      </c>
      <c r="P51" s="30">
        <v>0.0</v>
      </c>
      <c r="Q51" s="30">
        <v>0.0</v>
      </c>
      <c r="R51" s="30">
        <v>0.0</v>
      </c>
      <c r="S51" s="30">
        <v>0.0</v>
      </c>
      <c r="T51" s="30">
        <v>0.0</v>
      </c>
      <c r="U51" s="30">
        <v>0.0</v>
      </c>
    </row>
    <row r="52" ht="15.75" customHeight="1" outlineLevel="1">
      <c r="A52" s="1"/>
      <c r="B52" s="1"/>
      <c r="C52" s="1"/>
      <c r="D52" s="20" t="s">
        <v>57</v>
      </c>
      <c r="E52" s="20">
        <v>500.0</v>
      </c>
      <c r="F52" s="20">
        <v>1000.0</v>
      </c>
      <c r="G52" s="20">
        <v>0.0</v>
      </c>
      <c r="H52" s="37">
        <v>0.0</v>
      </c>
      <c r="I52" s="30">
        <v>0.0</v>
      </c>
      <c r="J52" s="30">
        <v>0.0</v>
      </c>
      <c r="K52" s="30">
        <v>0.0</v>
      </c>
      <c r="L52" s="30">
        <v>0.0</v>
      </c>
      <c r="M52" s="30">
        <v>0.0</v>
      </c>
      <c r="N52" s="30">
        <v>0.0</v>
      </c>
      <c r="O52" s="30">
        <v>0.0</v>
      </c>
      <c r="P52" s="30">
        <v>0.0</v>
      </c>
      <c r="Q52" s="30">
        <v>0.0</v>
      </c>
      <c r="R52" s="30">
        <v>0.0</v>
      </c>
      <c r="S52" s="30">
        <v>0.0</v>
      </c>
      <c r="T52" s="30">
        <v>0.0</v>
      </c>
      <c r="U52" s="30">
        <v>0.0</v>
      </c>
    </row>
    <row r="53" ht="15.75" customHeight="1" outlineLevel="1">
      <c r="A53" s="1"/>
      <c r="B53" s="1"/>
      <c r="C53" s="1"/>
      <c r="D53" s="20" t="s">
        <v>58</v>
      </c>
      <c r="E53" s="20">
        <v>0.0</v>
      </c>
      <c r="F53" s="20">
        <v>0.0</v>
      </c>
      <c r="G53" s="20">
        <v>0.0</v>
      </c>
      <c r="H53" s="37">
        <v>36.0</v>
      </c>
      <c r="I53" s="30">
        <v>0.0</v>
      </c>
      <c r="J53" s="30">
        <v>0.0</v>
      </c>
      <c r="K53" s="30">
        <v>0.0</v>
      </c>
      <c r="L53" s="30">
        <v>0.0</v>
      </c>
      <c r="M53" s="30">
        <v>0.0</v>
      </c>
      <c r="N53" s="30">
        <v>0.0</v>
      </c>
      <c r="O53" s="30">
        <v>0.0</v>
      </c>
      <c r="P53" s="30">
        <v>0.0</v>
      </c>
      <c r="Q53" s="30">
        <v>0.0</v>
      </c>
      <c r="R53" s="30">
        <v>0.0</v>
      </c>
      <c r="S53" s="30">
        <v>0.0</v>
      </c>
      <c r="T53" s="30">
        <v>0.0</v>
      </c>
      <c r="U53" s="30">
        <v>0.0</v>
      </c>
    </row>
    <row r="54" ht="15.75" customHeight="1" outlineLevel="1">
      <c r="A54" s="1"/>
      <c r="B54" s="1"/>
      <c r="C54" s="1"/>
      <c r="D54" s="20" t="s">
        <v>59</v>
      </c>
      <c r="E54" s="20">
        <v>5742.86</v>
      </c>
      <c r="F54" s="20">
        <v>0.0</v>
      </c>
      <c r="G54" s="20">
        <v>2871.43</v>
      </c>
      <c r="H54" s="37">
        <v>2871.43</v>
      </c>
      <c r="I54" s="30">
        <v>6731.376503496504</v>
      </c>
      <c r="J54" s="30">
        <v>1755.839306526806</v>
      </c>
      <c r="K54" s="30">
        <v>2012.254358974359</v>
      </c>
      <c r="L54" s="30">
        <v>2123.141730769231</v>
      </c>
      <c r="M54" s="30">
        <v>6918.359184149184</v>
      </c>
      <c r="N54" s="30">
        <v>1804.276252913753</v>
      </c>
      <c r="O54" s="30">
        <v>2067.384615384616</v>
      </c>
      <c r="P54" s="30">
        <v>24723.27487762238</v>
      </c>
      <c r="Q54" s="30">
        <v>2195.357435897437</v>
      </c>
      <c r="R54" s="30">
        <v>7152.087534965036</v>
      </c>
      <c r="S54" s="30">
        <v>1864.822435897436</v>
      </c>
      <c r="T54" s="30">
        <v>2136.297435897437</v>
      </c>
      <c r="U54" s="30">
        <v>2253.130000000001</v>
      </c>
      <c r="V54" s="39"/>
    </row>
    <row r="55" ht="15.75" customHeight="1" outlineLevel="1">
      <c r="A55" s="1"/>
      <c r="B55" s="1"/>
      <c r="C55" s="1"/>
      <c r="D55" s="20"/>
      <c r="E55" s="20"/>
      <c r="F55" s="20"/>
      <c r="G55" s="20"/>
      <c r="H55" s="37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9"/>
    </row>
    <row r="56" ht="15.0" customHeight="1">
      <c r="A56" s="1"/>
      <c r="B56" s="1"/>
      <c r="C56" s="23" t="s">
        <v>60</v>
      </c>
      <c r="D56" s="8"/>
      <c r="E56" s="24">
        <f t="shared" ref="E56:U56" si="13">-SUM(E57:E59)</f>
        <v>-3655</v>
      </c>
      <c r="F56" s="24">
        <f t="shared" si="13"/>
        <v>-1017.73</v>
      </c>
      <c r="G56" s="24">
        <f t="shared" si="13"/>
        <v>-3691.65</v>
      </c>
      <c r="H56" s="25">
        <f t="shared" si="13"/>
        <v>-1050</v>
      </c>
      <c r="I56" s="24">
        <f t="shared" si="13"/>
        <v>-5117.535339</v>
      </c>
      <c r="J56" s="24">
        <f t="shared" si="13"/>
        <v>-2210.081187</v>
      </c>
      <c r="K56" s="24">
        <f t="shared" si="13"/>
        <v>-5687.359417</v>
      </c>
      <c r="L56" s="24">
        <f t="shared" si="13"/>
        <v>-5169.979424</v>
      </c>
      <c r="M56" s="24">
        <f t="shared" si="13"/>
        <v>-7613.681398</v>
      </c>
      <c r="N56" s="24">
        <f t="shared" si="13"/>
        <v>-3170.926004</v>
      </c>
      <c r="O56" s="24">
        <f t="shared" si="13"/>
        <v>-7917.581461</v>
      </c>
      <c r="P56" s="24">
        <f t="shared" si="13"/>
        <v>-5114.291502</v>
      </c>
      <c r="Q56" s="24">
        <f t="shared" si="13"/>
        <v>-7476.998986</v>
      </c>
      <c r="R56" s="24">
        <f t="shared" si="13"/>
        <v>-10732.95401</v>
      </c>
      <c r="S56" s="24">
        <f t="shared" si="13"/>
        <v>-4371.695157</v>
      </c>
      <c r="T56" s="24">
        <f t="shared" si="13"/>
        <v>-10704.69255</v>
      </c>
      <c r="U56" s="24">
        <f t="shared" si="13"/>
        <v>-9323.743108</v>
      </c>
    </row>
    <row r="57" ht="15.75" customHeight="1" outlineLevel="1">
      <c r="A57" s="1"/>
      <c r="B57" s="1"/>
      <c r="C57" s="1"/>
      <c r="D57" s="20" t="s">
        <v>61</v>
      </c>
      <c r="E57" s="20">
        <v>3655.0</v>
      </c>
      <c r="F57" s="20">
        <v>1017.73</v>
      </c>
      <c r="G57" s="20">
        <v>3691.65</v>
      </c>
      <c r="H57" s="21">
        <v>1050.0</v>
      </c>
      <c r="I57" s="36">
        <v>5117.454255985231</v>
      </c>
      <c r="J57" s="36">
        <v>2210.04488453801</v>
      </c>
      <c r="K57" s="36">
        <v>5687.263655820214</v>
      </c>
      <c r="L57" s="36">
        <v>5169.872025559279</v>
      </c>
      <c r="M57" s="36">
        <v>7613.517946592821</v>
      </c>
      <c r="N57" s="36">
        <v>3170.846320280696</v>
      </c>
      <c r="O57" s="36">
        <v>7917.379641358278</v>
      </c>
      <c r="P57" s="36">
        <v>5114.079895419674</v>
      </c>
      <c r="Q57" s="36">
        <v>7477.677682508379</v>
      </c>
      <c r="R57" s="36">
        <v>10733.59755985231</v>
      </c>
      <c r="S57" s="36">
        <v>4371.848114959054</v>
      </c>
      <c r="T57" s="36">
        <v>10705.02462328086</v>
      </c>
      <c r="U57" s="36">
        <v>9323.922208067659</v>
      </c>
    </row>
    <row r="58" ht="15.75" customHeight="1" outlineLevel="1">
      <c r="A58" s="1"/>
      <c r="B58" s="1"/>
      <c r="C58" s="1"/>
      <c r="D58" s="40"/>
      <c r="E58" s="20"/>
      <c r="F58" s="33"/>
      <c r="G58" s="33"/>
      <c r="H58" s="37"/>
      <c r="I58" s="41">
        <f t="shared" ref="I58:U58" si="14">I57/I9</f>
        <v>0.08108263446</v>
      </c>
      <c r="J58" s="41">
        <f t="shared" si="14"/>
        <v>0.03630225816</v>
      </c>
      <c r="K58" s="41">
        <f t="shared" si="14"/>
        <v>0.09576093004</v>
      </c>
      <c r="L58" s="41">
        <f t="shared" si="14"/>
        <v>0.1073987889</v>
      </c>
      <c r="M58" s="41">
        <f t="shared" si="14"/>
        <v>0.1634515043</v>
      </c>
      <c r="N58" s="41">
        <f t="shared" si="14"/>
        <v>0.07968410034</v>
      </c>
      <c r="O58" s="41">
        <f t="shared" si="14"/>
        <v>0.2018196966</v>
      </c>
      <c r="P58" s="41">
        <f t="shared" si="14"/>
        <v>0.211606804</v>
      </c>
      <c r="Q58" s="41">
        <f t="shared" si="14"/>
        <v>-0.6786964278</v>
      </c>
      <c r="R58" s="41">
        <f t="shared" si="14"/>
        <v>-0.6435451574</v>
      </c>
      <c r="S58" s="41">
        <f t="shared" si="14"/>
        <v>-0.1529577555</v>
      </c>
      <c r="T58" s="41">
        <f t="shared" si="14"/>
        <v>-0.3320726084</v>
      </c>
      <c r="U58" s="41">
        <f t="shared" si="14"/>
        <v>-0.1791003545</v>
      </c>
    </row>
    <row r="59" ht="15.75" customHeight="1">
      <c r="A59" s="1"/>
      <c r="B59" s="1"/>
      <c r="C59" s="1"/>
      <c r="D59" s="1"/>
      <c r="E59" s="20"/>
      <c r="F59" s="20"/>
      <c r="G59" s="20"/>
      <c r="H59" s="2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5.0" customHeight="1">
      <c r="A60" s="1"/>
      <c r="B60" s="23" t="s">
        <v>62</v>
      </c>
      <c r="C60" s="8"/>
      <c r="D60" s="8"/>
      <c r="E60" s="24">
        <f t="shared" ref="E60:U60" si="15">E47+E28+E56</f>
        <v>-27551.22</v>
      </c>
      <c r="F60" s="24">
        <f t="shared" si="15"/>
        <v>-8860.68</v>
      </c>
      <c r="G60" s="24">
        <f t="shared" si="15"/>
        <v>-25334.25</v>
      </c>
      <c r="H60" s="25">
        <f t="shared" si="15"/>
        <v>-14549.52</v>
      </c>
      <c r="I60" s="24">
        <f t="shared" si="15"/>
        <v>-19355.22002</v>
      </c>
      <c r="J60" s="24">
        <f t="shared" si="15"/>
        <v>-16974.7711</v>
      </c>
      <c r="K60" s="24">
        <f t="shared" si="15"/>
        <v>-26963.42935</v>
      </c>
      <c r="L60" s="24">
        <f t="shared" si="15"/>
        <v>-15439.75765</v>
      </c>
      <c r="M60" s="24">
        <f t="shared" si="15"/>
        <v>-22320.49816</v>
      </c>
      <c r="N60" s="24">
        <f t="shared" si="15"/>
        <v>-14579.54076</v>
      </c>
      <c r="O60" s="24">
        <f t="shared" si="15"/>
        <v>-29245.76686</v>
      </c>
      <c r="P60" s="24">
        <f t="shared" si="15"/>
        <v>-49013.84333</v>
      </c>
      <c r="Q60" s="24">
        <f t="shared" si="15"/>
        <v>-17815.11666</v>
      </c>
      <c r="R60" s="24">
        <f t="shared" si="15"/>
        <v>-25453.46587</v>
      </c>
      <c r="S60" s="24">
        <f t="shared" si="15"/>
        <v>-15835.21595</v>
      </c>
      <c r="T60" s="24">
        <f t="shared" si="15"/>
        <v>-32098.02228</v>
      </c>
      <c r="U60" s="24">
        <f t="shared" si="15"/>
        <v>-19716.53234</v>
      </c>
    </row>
    <row r="61" ht="15.75" customHeight="1">
      <c r="A61" s="1"/>
      <c r="B61" s="1"/>
      <c r="C61" s="1"/>
      <c r="D61" s="1"/>
      <c r="E61" s="20"/>
      <c r="F61" s="20"/>
      <c r="G61" s="20"/>
      <c r="H61" s="21" t="s">
        <v>2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5.0" customHeight="1">
      <c r="A62" s="1"/>
      <c r="B62" s="10" t="s">
        <v>63</v>
      </c>
      <c r="C62" s="8"/>
      <c r="D62" s="8"/>
      <c r="E62" s="17">
        <f t="shared" ref="E62:H62" si="16">F9</f>
        <v>69294.84</v>
      </c>
      <c r="F62" s="17">
        <f t="shared" si="16"/>
        <v>72781.84</v>
      </c>
      <c r="G62" s="17">
        <f t="shared" si="16"/>
        <v>63567.49</v>
      </c>
      <c r="H62" s="18">
        <f t="shared" si="16"/>
        <v>63114.06</v>
      </c>
      <c r="I62" s="17">
        <f t="shared" ref="I62:U62" si="17">I9+I25+I60</f>
        <v>60878.99201</v>
      </c>
      <c r="J62" s="17">
        <f t="shared" si="17"/>
        <v>59390.22995</v>
      </c>
      <c r="K62" s="17">
        <f t="shared" si="17"/>
        <v>48137.15385</v>
      </c>
      <c r="L62" s="17">
        <f t="shared" si="17"/>
        <v>46579.67497</v>
      </c>
      <c r="M62" s="17">
        <f t="shared" si="17"/>
        <v>39792.7103</v>
      </c>
      <c r="N62" s="17">
        <f t="shared" si="17"/>
        <v>39229.96503</v>
      </c>
      <c r="O62" s="17">
        <f t="shared" si="17"/>
        <v>24167.84242</v>
      </c>
      <c r="P62" s="17">
        <f t="shared" si="17"/>
        <v>-11017.70597</v>
      </c>
      <c r="Q62" s="17">
        <f t="shared" si="17"/>
        <v>-16678.85685</v>
      </c>
      <c r="R62" s="17">
        <f t="shared" si="17"/>
        <v>-28582.06242</v>
      </c>
      <c r="S62" s="17">
        <f t="shared" si="17"/>
        <v>-32236.99983</v>
      </c>
      <c r="T62" s="17">
        <f t="shared" si="17"/>
        <v>-52059.76412</v>
      </c>
      <c r="U62" s="17">
        <f t="shared" si="17"/>
        <v>-61004.98108</v>
      </c>
    </row>
    <row r="63" ht="15.75" customHeight="1">
      <c r="B63" s="42"/>
      <c r="D63" s="42" t="s">
        <v>64</v>
      </c>
    </row>
    <row r="64" ht="15.75" customHeight="1">
      <c r="B64" s="42" t="s">
        <v>65</v>
      </c>
      <c r="I64" s="43">
        <f t="shared" ref="I64:U64" si="18">$E$4</f>
        <v>100000</v>
      </c>
      <c r="J64" s="43">
        <f t="shared" si="18"/>
        <v>100000</v>
      </c>
      <c r="K64" s="43">
        <f t="shared" si="18"/>
        <v>100000</v>
      </c>
      <c r="L64" s="43">
        <f t="shared" si="18"/>
        <v>100000</v>
      </c>
      <c r="M64" s="43">
        <f t="shared" si="18"/>
        <v>100000</v>
      </c>
      <c r="N64" s="43">
        <f t="shared" si="18"/>
        <v>100000</v>
      </c>
      <c r="O64" s="43">
        <f t="shared" si="18"/>
        <v>100000</v>
      </c>
      <c r="P64" s="43">
        <f t="shared" si="18"/>
        <v>100000</v>
      </c>
      <c r="Q64" s="43">
        <f t="shared" si="18"/>
        <v>100000</v>
      </c>
      <c r="R64" s="43">
        <f t="shared" si="18"/>
        <v>100000</v>
      </c>
      <c r="S64" s="43">
        <f t="shared" si="18"/>
        <v>100000</v>
      </c>
      <c r="T64" s="43">
        <f t="shared" si="18"/>
        <v>100000</v>
      </c>
      <c r="U64" s="43">
        <f t="shared" si="18"/>
        <v>100000</v>
      </c>
    </row>
    <row r="65" ht="15.75" customHeight="1">
      <c r="B65" s="42" t="s">
        <v>66</v>
      </c>
      <c r="I65" s="17">
        <f t="shared" ref="I65:U65" si="19">(I62+I63)-I64</f>
        <v>-39121.00799</v>
      </c>
      <c r="J65" s="17">
        <f t="shared" si="19"/>
        <v>-40609.77005</v>
      </c>
      <c r="K65" s="17">
        <f t="shared" si="19"/>
        <v>-51862.84615</v>
      </c>
      <c r="L65" s="17">
        <f t="shared" si="19"/>
        <v>-53420.32503</v>
      </c>
      <c r="M65" s="17">
        <f t="shared" si="19"/>
        <v>-60207.2897</v>
      </c>
      <c r="N65" s="17">
        <f t="shared" si="19"/>
        <v>-60770.03497</v>
      </c>
      <c r="O65" s="17">
        <f t="shared" si="19"/>
        <v>-75832.15758</v>
      </c>
      <c r="P65" s="17">
        <f t="shared" si="19"/>
        <v>-111017.706</v>
      </c>
      <c r="Q65" s="17">
        <f t="shared" si="19"/>
        <v>-116678.8569</v>
      </c>
      <c r="R65" s="17">
        <f t="shared" si="19"/>
        <v>-128582.0624</v>
      </c>
      <c r="S65" s="17">
        <f t="shared" si="19"/>
        <v>-132236.9998</v>
      </c>
      <c r="T65" s="17">
        <f t="shared" si="19"/>
        <v>-152059.7641</v>
      </c>
      <c r="U65" s="17">
        <f t="shared" si="19"/>
        <v>-161004.9811</v>
      </c>
    </row>
    <row r="66" ht="15.75" customHeight="1">
      <c r="E66" s="44"/>
    </row>
    <row r="67" ht="15.75" customHeight="1">
      <c r="E67" s="44"/>
    </row>
    <row r="68" ht="15.75" customHeight="1">
      <c r="E68" s="44"/>
    </row>
    <row r="69" ht="15.75" customHeight="1">
      <c r="E69" s="44"/>
    </row>
    <row r="70" ht="15.75" customHeight="1">
      <c r="E70" s="44"/>
    </row>
    <row r="71" ht="15.75" customHeight="1">
      <c r="E71" s="44"/>
    </row>
    <row r="72" ht="15.75" customHeight="1">
      <c r="E72" s="44"/>
    </row>
    <row r="73" ht="15.75" customHeight="1">
      <c r="E73" s="4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7">
    <mergeCell ref="B1:U3"/>
    <mergeCell ref="E5:H5"/>
    <mergeCell ref="I5:U5"/>
    <mergeCell ref="B6:D6"/>
    <mergeCell ref="B7:D7"/>
    <mergeCell ref="B9:D9"/>
    <mergeCell ref="B11:D11"/>
    <mergeCell ref="C56:D56"/>
    <mergeCell ref="B60:D60"/>
    <mergeCell ref="B62:D62"/>
    <mergeCell ref="C12:D12"/>
    <mergeCell ref="C17:D17"/>
    <mergeCell ref="C21:D21"/>
    <mergeCell ref="B25:D25"/>
    <mergeCell ref="B27:D27"/>
    <mergeCell ref="C28:D28"/>
    <mergeCell ref="C47:D47"/>
  </mergeCells>
  <conditionalFormatting sqref="I62:U62">
    <cfRule type="cellIs" dxfId="0" priority="1" operator="lessThan">
      <formula>$E$4</formula>
    </cfRule>
  </conditionalFormatting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2025-01-08T23:22:48Z</dcterms:created>
  <dc:creator>Stephen Montgomery</dc:creator>
</cp:coreProperties>
</file>