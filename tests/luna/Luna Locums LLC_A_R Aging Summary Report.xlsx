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" l="1"/>
</calcChain>
</file>

<file path=xl/sharedStrings.xml><?xml version="1.0" encoding="utf-8"?>
<sst xmlns="http://schemas.openxmlformats.org/spreadsheetml/2006/main" count="41" uniqueCount="41">
  <si>
    <t>A/R Aging Summary Report</t>
  </si>
  <si>
    <t>Luna Locums LLC</t>
  </si>
  <si>
    <t>As of February 26, 2026</t>
  </si>
  <si>
    <t>Ascen</t>
  </si>
  <si>
    <t>Blackfeet Nation</t>
  </si>
  <si>
    <t>Blackfeet Nation (Medical)</t>
  </si>
  <si>
    <t>Bristol Hospital Incorporated</t>
  </si>
  <si>
    <t>Chenega Government Mission Solutions, LLC</t>
  </si>
  <si>
    <t>Cheyenne River Sioux Tribe (Dental)</t>
  </si>
  <si>
    <t>Community Health Clinic Inc.</t>
  </si>
  <si>
    <t>Community Health Programs Inc.</t>
  </si>
  <si>
    <t>Community Health Programs - Pittsfield</t>
  </si>
  <si>
    <t>CXC</t>
  </si>
  <si>
    <t>Fairfield Dental Associates</t>
  </si>
  <si>
    <t>Great Plains Tribal Leaders Health Board</t>
  </si>
  <si>
    <t>Great Plains Tribal Leaders Health Board (Behavioral Health)</t>
  </si>
  <si>
    <t>Great Plains Tribal Leaders Health Board (Primary Care/Urgent Care)</t>
  </si>
  <si>
    <t>Hamilton Dental Associates Inc.</t>
  </si>
  <si>
    <t>Integrative Emergency Services, LLC</t>
  </si>
  <si>
    <t>Kaiser Permanente Greater Southern Alameda Area</t>
  </si>
  <si>
    <t>Karuk Tribe</t>
  </si>
  <si>
    <t>KLAMATH HEALTH PARTNERSHIP, INC.</t>
  </si>
  <si>
    <t>Lone Peak Dental Group</t>
  </si>
  <si>
    <t>Lone Peak Dental Group - Kid's Dental Denver CO</t>
  </si>
  <si>
    <t>Lone Peak Dental Group - South Carolina</t>
  </si>
  <si>
    <t>Marshfield Clinic, Inc. and Marshfield Clinic Health System, Inc.</t>
  </si>
  <si>
    <t>MyMichigan Medical Center Midland</t>
  </si>
  <si>
    <t>Pascua Yaqui Tribe</t>
  </si>
  <si>
    <t>Sault Tribe Health Division (Sault Ste. Marie - Medical)</t>
  </si>
  <si>
    <t>Sault Tribe Health Division (St. Ignace)</t>
  </si>
  <si>
    <t>United Indian Health Services</t>
  </si>
  <si>
    <t>Wentworth-Douglass Hospital and Health Foundation</t>
  </si>
  <si>
    <t>TOTAL</t>
  </si>
  <si>
    <t>Customer</t>
  </si>
  <si>
    <t>CURRENT</t>
  </si>
  <si>
    <t>1 - 30</t>
  </si>
  <si>
    <t>31 - 60</t>
  </si>
  <si>
    <t>61 - 90</t>
  </si>
  <si>
    <t>91 AND OVER</t>
  </si>
  <si>
    <t>Total</t>
  </si>
  <si>
    <t xml:space="preserve"> Wednesday, March 04, 2026 01:41 PM GMT-07:00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</si>
</sst>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6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39"/>
  <sheetViews>
    <sheetView tabSelected="1" workbookViewId="0" topLeftCell="A1"/>
  </sheetViews>
  <sheetFormatPr defaultColWidth="11.255" defaultRowHeight="16"/>
  <cols>
    <col min="1" max="1" width="58.25" style="28" customWidth="1"/>
    <col min="2" max="2" width="8.375" style="28" customWidth="1"/>
    <col min="3" max="3" width="15.25" style="28" customWidth="1"/>
    <col min="4" max="5" width="16.125" style="28" customWidth="1"/>
    <col min="6" max="6" width="10.125" style="28" customWidth="1"/>
    <col min="7" max="7" width="16.125" style="28" customWidth="1"/>
  </cols>
  <sheetData>
    <row r="1" spans="1:1" ht="16">
      <c r="A1" s="22" t="s">
        <v>0</v>
      </c>
    </row>
    <row r="2" spans="1:1" ht="16">
      <c r="A2" s="23" t="s">
        <v>1</v>
      </c>
    </row>
    <row r="3" spans="1:1" ht="16">
      <c r="A3" s="24" t="s">
        <v>2</v>
      </c>
    </row>
    <row r="5" spans="1:7" ht="16">
      <c r="A5" s="30" t="s">
        <v>33</v>
      </c>
      <c r="B5" s="30" t="s">
        <v>34</v>
      </c>
      <c r="C5" s="30" t="s">
        <v>35</v>
      </c>
      <c r="D5" s="30" t="s">
        <v>36</v>
      </c>
      <c r="E5" s="30" t="s">
        <v>37</v>
      </c>
      <c r="F5" s="30" t="s">
        <v>38</v>
      </c>
      <c r="G5" s="30" t="s">
        <v>39</v>
      </c>
    </row>
    <row r="6" spans="1:7" ht="16">
      <c r="A6" s="26" t="s">
        <v>3</v>
      </c>
      <c r="B6" s="31"/>
      <c r="C6" s="32">
        <v>0</v>
      </c>
      <c r="D6" s="32">
        <v>0</v>
      </c>
      <c r="E6" s="32">
        <v>0</v>
      </c>
      <c r="F6" s="32">
        <v>0</v>
      </c>
      <c r="G6" s="32">
        <f>B6+C6+D6+E6+F6</f>
        <v>0.0</v>
      </c>
    </row>
    <row r="7" spans="1:7" ht="16">
      <c r="A7" s="26" t="s">
        <v>4</v>
      </c>
      <c r="B7" s="31"/>
      <c r="C7" s="31"/>
      <c r="D7" s="31"/>
      <c r="E7" s="31"/>
      <c r="F7" s="32">
        <v>-1693.47</v>
      </c>
      <c r="G7" s="32">
        <f>B7+C7+D7+E7+F7</f>
        <v>-1693.47</v>
      </c>
    </row>
    <row r="8" spans="1:7" ht="16">
      <c r="A8" s="26" t="s">
        <v>5</v>
      </c>
      <c r="B8" s="31"/>
      <c r="C8" s="32">
        <v>38524.88</v>
      </c>
      <c r="D8" s="31"/>
      <c r="E8" s="31"/>
      <c r="F8" s="31"/>
      <c r="G8" s="32">
        <f>B8+C8+D8+E8+F8</f>
        <v>38524.88</v>
      </c>
    </row>
    <row r="9" spans="1:7" ht="16">
      <c r="A9" s="26" t="s">
        <v>6</v>
      </c>
      <c r="B9" s="32">
        <v>91070.89</v>
      </c>
      <c r="C9" s="32">
        <v>24199.73</v>
      </c>
      <c r="D9" s="32">
        <v>91992.25</v>
      </c>
      <c r="E9" s="32">
        <v>38044.66</v>
      </c>
      <c r="F9" s="32">
        <v>4130.27</v>
      </c>
      <c r="G9" s="32">
        <f>B9+C9+D9+E9+F9</f>
        <v>249437.8</v>
      </c>
    </row>
    <row r="10" spans="1:7" ht="16">
      <c r="A10" s="26" t="s">
        <v>7</v>
      </c>
      <c r="B10" s="32">
        <v>7186.96</v>
      </c>
      <c r="C10" s="31"/>
      <c r="D10" s="31"/>
      <c r="E10" s="31"/>
      <c r="F10" s="31"/>
      <c r="G10" s="32">
        <f>B10+C10+D10+E10+F10</f>
        <v>7186.96</v>
      </c>
    </row>
    <row r="11" spans="1:7" ht="16">
      <c r="A11" s="26" t="s">
        <v>8</v>
      </c>
      <c r="B11" s="31"/>
      <c r="C11" s="32">
        <v>43413.75</v>
      </c>
      <c r="D11" s="31"/>
      <c r="E11" s="31"/>
      <c r="F11" s="31"/>
      <c r="G11" s="32">
        <f>B11+C11+D11+E11+F11</f>
        <v>43413.75</v>
      </c>
    </row>
    <row r="12" spans="1:7" ht="16">
      <c r="A12" s="26" t="s">
        <v>9</v>
      </c>
      <c r="B12" s="31"/>
      <c r="C12" s="32">
        <v>8823.7</v>
      </c>
      <c r="D12" s="31"/>
      <c r="E12" s="31"/>
      <c r="F12" s="31"/>
      <c r="G12" s="32">
        <f>B12+C12+D12+E12+F12</f>
        <v>8823.7</v>
      </c>
    </row>
    <row r="13" spans="1:7" ht="16">
      <c r="A13" s="26" t="s">
        <v>10</v>
      </c>
      <c r="B13" s="32">
        <v>15924.42</v>
      </c>
      <c r="C13" s="32">
        <v>15701.28</v>
      </c>
      <c r="D13" s="31"/>
      <c r="E13" s="31"/>
      <c r="F13" s="31"/>
      <c r="G13" s="32">
        <f>B13+C13+D13+E13+F13</f>
        <v>31625.7</v>
      </c>
    </row>
    <row r="14" spans="1:7" ht="16">
      <c r="A14" s="26" t="s">
        <v>11</v>
      </c>
      <c r="B14" s="31"/>
      <c r="C14" s="32">
        <v>22525.68</v>
      </c>
      <c r="D14" s="31"/>
      <c r="E14" s="31"/>
      <c r="F14" s="31"/>
      <c r="G14" s="32">
        <f>B14+C14+D14+E14+F14</f>
        <v>22525.68</v>
      </c>
    </row>
    <row r="15" spans="1:7" ht="16">
      <c r="A15" s="26" t="s">
        <v>12</v>
      </c>
      <c r="B15" s="31"/>
      <c r="C15" s="31"/>
      <c r="D15" s="31"/>
      <c r="E15" s="31"/>
      <c r="F15" s="32">
        <v>0</v>
      </c>
      <c r="G15" s="32">
        <f>B15+C15+D15+E15+F15</f>
        <v>0.0</v>
      </c>
    </row>
    <row r="16" spans="1:7" ht="16">
      <c r="A16" s="26" t="s">
        <v>13</v>
      </c>
      <c r="B16" s="31"/>
      <c r="C16" s="31"/>
      <c r="D16" s="31"/>
      <c r="E16" s="31"/>
      <c r="F16" s="32">
        <v>32045.0</v>
      </c>
      <c r="G16" s="32">
        <f>B16+C16+D16+E16+F16</f>
        <v>32045.0</v>
      </c>
    </row>
    <row r="17" spans="1:7" ht="16">
      <c r="A17" s="26" t="s">
        <v>14</v>
      </c>
      <c r="B17" s="31"/>
      <c r="C17" s="31"/>
      <c r="D17" s="32">
        <v>-4160.0</v>
      </c>
      <c r="E17" s="32">
        <v>-14621.53</v>
      </c>
      <c r="F17" s="31"/>
      <c r="G17" s="32">
        <f>B17+C17+D17+E17+F17</f>
        <v>-18781.53</v>
      </c>
    </row>
    <row r="18" spans="1:7" ht="16">
      <c r="A18" s="26" t="s">
        <v>15</v>
      </c>
      <c r="B18" s="32">
        <v>28464.95</v>
      </c>
      <c r="C18" s="32">
        <v>16157.8</v>
      </c>
      <c r="D18" s="32">
        <v>4536.43</v>
      </c>
      <c r="E18" s="31"/>
      <c r="F18" s="31"/>
      <c r="G18" s="32">
        <f>B18+C18+D18+E18+F18</f>
        <v>49159.18</v>
      </c>
    </row>
    <row r="19" spans="1:7" ht="16">
      <c r="A19" s="26" t="s">
        <v>16</v>
      </c>
      <c r="B19" s="32">
        <v>52689.73</v>
      </c>
      <c r="C19" s="32">
        <v>111571.2</v>
      </c>
      <c r="D19" s="31"/>
      <c r="E19" s="32">
        <v>3166.38</v>
      </c>
      <c r="F19" s="31"/>
      <c r="G19" s="32">
        <f>B19+C19+D19+E19+F19</f>
        <v>167427.31</v>
      </c>
    </row>
    <row r="20" spans="1:7" ht="16">
      <c r="A20" s="26" t="s">
        <v>17</v>
      </c>
      <c r="B20" s="31"/>
      <c r="C20" s="31"/>
      <c r="D20" s="31"/>
      <c r="E20" s="31"/>
      <c r="F20" s="32">
        <v>35045.88</v>
      </c>
      <c r="G20" s="32">
        <f>B20+C20+D20+E20+F20</f>
        <v>35045.88</v>
      </c>
    </row>
    <row r="21" spans="1:7" ht="16">
      <c r="A21" s="26" t="s">
        <v>18</v>
      </c>
      <c r="B21" s="32">
        <v>3955.3</v>
      </c>
      <c r="C21" s="32">
        <v>4340.36</v>
      </c>
      <c r="D21" s="31"/>
      <c r="E21" s="31"/>
      <c r="F21" s="31"/>
      <c r="G21" s="32">
        <f>B21+C21+D21+E21+F21</f>
        <v>8295.66</v>
      </c>
    </row>
    <row r="22" spans="1:7" ht="16">
      <c r="A22" s="26" t="s">
        <v>19</v>
      </c>
      <c r="B22" s="32">
        <v>54400.0</v>
      </c>
      <c r="C22" s="32">
        <v>29240.0</v>
      </c>
      <c r="D22" s="32">
        <v>12920.0</v>
      </c>
      <c r="E22" s="31"/>
      <c r="F22" s="31"/>
      <c r="G22" s="32">
        <f>B22+C22+D22+E22+F22</f>
        <v>96560.0</v>
      </c>
    </row>
    <row r="23" spans="1:7" ht="16">
      <c r="A23" s="26" t="s">
        <v>20</v>
      </c>
      <c r="B23" s="31"/>
      <c r="C23" s="32">
        <v>53801.88</v>
      </c>
      <c r="D23" s="31"/>
      <c r="E23" s="32">
        <v>1744.85</v>
      </c>
      <c r="F23" s="31"/>
      <c r="G23" s="32">
        <f>B23+C23+D23+E23+F23</f>
        <v>55546.729999999996</v>
      </c>
    </row>
    <row r="24" spans="1:7" ht="16">
      <c r="A24" s="26" t="s">
        <v>21</v>
      </c>
      <c r="B24" s="31"/>
      <c r="C24" s="31"/>
      <c r="D24" s="32">
        <v>-40.0</v>
      </c>
      <c r="E24" s="31"/>
      <c r="F24" s="31"/>
      <c r="G24" s="32">
        <f>B24+C24+D24+E24+F24</f>
        <v>-40.0</v>
      </c>
    </row>
    <row r="25" spans="1:7" ht="16">
      <c r="A25" s="26" t="s">
        <v>22</v>
      </c>
      <c r="B25" s="31"/>
      <c r="C25" s="31"/>
      <c r="D25" s="31"/>
      <c r="E25" s="32">
        <v>1692.73</v>
      </c>
      <c r="F25" s="31"/>
      <c r="G25" s="32">
        <f>B25+C25+D25+E25+F25</f>
        <v>1692.73</v>
      </c>
    </row>
    <row r="26" spans="1:7" ht="16">
      <c r="A26" s="26" t="s">
        <v>23</v>
      </c>
      <c r="B26" s="31"/>
      <c r="C26" s="32">
        <v>5816.49</v>
      </c>
      <c r="D26" s="31"/>
      <c r="E26" s="31"/>
      <c r="F26" s="31"/>
      <c r="G26" s="32">
        <f>B26+C26+D26+E26+F26</f>
        <v>5816.49</v>
      </c>
    </row>
    <row r="27" spans="1:7" ht="16">
      <c r="A27" s="26" t="s">
        <v>24</v>
      </c>
      <c r="B27" s="31"/>
      <c r="C27" s="32">
        <v>9926.85</v>
      </c>
      <c r="D27" s="32">
        <v>4091.62</v>
      </c>
      <c r="E27" s="31"/>
      <c r="F27" s="31"/>
      <c r="G27" s="32">
        <f>B27+C27+D27+E27+F27</f>
        <v>14018.470000000001</v>
      </c>
    </row>
    <row r="28" spans="1:7" ht="16">
      <c r="A28" s="26" t="s">
        <v>25</v>
      </c>
      <c r="B28" s="32">
        <v>18480.62</v>
      </c>
      <c r="C28" s="32">
        <v>17795.46</v>
      </c>
      <c r="D28" s="32">
        <v>3461.24</v>
      </c>
      <c r="E28" s="31"/>
      <c r="F28" s="31"/>
      <c r="G28" s="32">
        <f>B28+C28+D28+E28+F28</f>
        <v>39737.32</v>
      </c>
    </row>
    <row r="29" spans="1:7" ht="16">
      <c r="A29" s="26" t="s">
        <v>26</v>
      </c>
      <c r="B29" s="32">
        <v>25200.0</v>
      </c>
      <c r="C29" s="32">
        <v>98768.64</v>
      </c>
      <c r="D29" s="32">
        <v>2570.0</v>
      </c>
      <c r="E29" s="31"/>
      <c r="F29" s="31"/>
      <c r="G29" s="32">
        <f>B29+C29+D29+E29+F29</f>
        <v>126538.64</v>
      </c>
    </row>
    <row r="30" spans="1:7" ht="16">
      <c r="A30" s="26" t="s">
        <v>27</v>
      </c>
      <c r="B30" s="32">
        <v>53713.55</v>
      </c>
      <c r="C30" s="32">
        <v>56313.09</v>
      </c>
      <c r="D30" s="31"/>
      <c r="E30" s="31"/>
      <c r="F30" s="31"/>
      <c r="G30" s="32">
        <f>B30+C30+D30+E30+F30</f>
        <v>110026.64</v>
      </c>
    </row>
    <row r="31" spans="1:7" ht="16">
      <c r="A31" s="26" t="s">
        <v>28</v>
      </c>
      <c r="B31" s="31"/>
      <c r="C31" s="31"/>
      <c r="D31" s="31"/>
      <c r="E31" s="31"/>
      <c r="F31" s="32">
        <v>10941.89</v>
      </c>
      <c r="G31" s="32">
        <f>B31+C31+D31+E31+F31</f>
        <v>10941.89</v>
      </c>
    </row>
    <row r="32" spans="1:7" ht="16">
      <c r="A32" s="26" t="s">
        <v>29</v>
      </c>
      <c r="B32" s="31"/>
      <c r="C32" s="31"/>
      <c r="D32" s="32">
        <v>-5657.96</v>
      </c>
      <c r="E32" s="32">
        <v>-5013.94</v>
      </c>
      <c r="F32" s="32">
        <v>-340.0</v>
      </c>
      <c r="G32" s="32">
        <f>B32+C32+D32+E32+F32</f>
        <v>-11011.9</v>
      </c>
    </row>
    <row r="33" spans="1:7" ht="16">
      <c r="A33" s="26" t="s">
        <v>30</v>
      </c>
      <c r="B33" s="31"/>
      <c r="C33" s="31"/>
      <c r="D33" s="31"/>
      <c r="E33" s="31"/>
      <c r="F33" s="32">
        <v>-3545.0</v>
      </c>
      <c r="G33" s="32">
        <f>B33+C33+D33+E33+F33</f>
        <v>-3545.0</v>
      </c>
    </row>
    <row r="34" spans="1:7" ht="16">
      <c r="A34" s="26" t="s">
        <v>31</v>
      </c>
      <c r="B34" s="31"/>
      <c r="C34" s="32">
        <v>3585.69</v>
      </c>
      <c r="D34" s="31"/>
      <c r="E34" s="31"/>
      <c r="F34" s="32">
        <v>3943.24</v>
      </c>
      <c r="G34" s="32">
        <f>B34+C34+D34+E34+F34</f>
        <v>7528.93</v>
      </c>
    </row>
    <row r="35" spans="1:7" ht="16">
      <c r="A35" s="27" t="s">
        <v>32</v>
      </c>
      <c r="B35" s="33">
        <v>351086.42</v>
      </c>
      <c r="C35" s="33">
        <v>560506.4799999999</v>
      </c>
      <c r="D35" s="33">
        <v>109713.57999999999</v>
      </c>
      <c r="E35" s="33">
        <v>25013.150000000005</v>
      </c>
      <c r="F35" s="33">
        <v>80527.81</v>
      </c>
      <c r="G35" s="34">
        <f>B35+C35+D35+E35+F35</f>
        <v>1126847.44</v>
      </c>
    </row>
    <row r="39" spans="1:1" ht="16">
      <c r="A39" s="35" t="s">
        <v>40</v>
      </c>
    </row>
  </sheetData>
  <mergeCells count="4">
    <mergeCell ref="A1:G1"/>
    <mergeCell ref="A2:G2"/>
    <mergeCell ref="A3:G3"/>
    <mergeCell ref="A39:G3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