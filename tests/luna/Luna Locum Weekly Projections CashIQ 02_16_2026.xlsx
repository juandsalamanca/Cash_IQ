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ions" sheetId="1" r:id="rId4"/>
    <sheet state="visible" name="Draw" sheetId="2" r:id="rId5"/>
    <sheet state="visible" name="AR_by_week" sheetId="3" r:id="rId6"/>
    <sheet state="visible" name="Future Sales" sheetId="4" r:id="rId7"/>
    <sheet state="visible" name="Internal Payroll" sheetId="5" r:id="rId8"/>
  </sheets>
  <definedNames/>
  <calcPr/>
  <extLst>
    <ext uri="GoogleSheetsCustomDataVersion2">
      <go:sheetsCustomData xmlns:go="http://customooxmlschemas.google.com/" r:id="rId9" roundtripDataChecksum="OjZOD+n3P3t0oU5E9xmUwpi+RsaSE69WWli3jLfUikc="/>
    </ext>
  </extLst>
</workbook>
</file>

<file path=xl/sharedStrings.xml><?xml version="1.0" encoding="utf-8"?>
<sst xmlns="http://schemas.openxmlformats.org/spreadsheetml/2006/main" count="247" uniqueCount="159">
  <si>
    <t>13 Week Cash Flow Forcast</t>
  </si>
  <si>
    <t> </t>
  </si>
  <si>
    <t>Previous 4 Weeks</t>
  </si>
  <si>
    <t>13 Week Projections</t>
  </si>
  <si>
    <t>Date at Start of Week</t>
  </si>
  <si>
    <t>Week Number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</si>
  <si>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</si>
  <si>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</si>
  <si>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</si>
  <si>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</si>
  <si>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</si>
  <si>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</si>
  <si>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</si>
  <si>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</si>
  <si>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</si>
  <si>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</si>
  <si>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</si>
  <si>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</si>
  <si>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</si>
  <si>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Beginning Bank Balance</t>
  </si>
  <si>
    <t>Cash Inflows</t>
  </si>
  <si>
    <t>AR Collected</t>
  </si>
  <si>
    <t>Blackfeet Nation</t>
  </si>
  <si>
    <t>Blackfeet Nation (Medical)</t>
  </si>
  <si>
    <t>Blackfeet Nation (Sukapi Lodge)</t>
  </si>
  <si>
    <t>Bristol Hospital Incorporated</t>
  </si>
  <si>
    <t>Chenega Government Mission Solutions</t>
  </si>
  <si>
    <t>Cheyenne River Sioux Tribe</t>
  </si>
  <si>
    <t>Cheyenne River Sioux Tribe (Dental)</t>
  </si>
  <si>
    <t>Community Health Programs Inc.</t>
  </si>
  <si>
    <t>Fairfield Dental Associates</t>
  </si>
  <si>
    <t>Great Plains Tribal Leaders Health Board</t>
  </si>
  <si>
    <t>Hamilton Dental Associates Inc.</t>
  </si>
  <si>
    <t>Integrative Emergency Services</t>
  </si>
  <si>
    <t>Kaiser Permanente Greater Southern Alameda Area</t>
  </si>
  <si>
    <t>Karuk Tribe Health &amp; Human Services</t>
  </si>
  <si>
    <t>Klamath Health Partnership, INC</t>
  </si>
  <si>
    <t>Lone Peak Dental Group</t>
  </si>
  <si>
    <t>Marshfield Clinic, Inc. and Marshfield Clinic Health System, Inc.</t>
  </si>
  <si>
    <t>MCR Health, INC</t>
  </si>
  <si>
    <t>My Michigan</t>
  </si>
  <si>
    <t>Pascua Yaqui Tribe</t>
  </si>
  <si>
    <t>Ponca Tribe of Nebraska</t>
  </si>
  <si>
    <t>Ponca Tribe of Nebraska (Dental)</t>
  </si>
  <si>
    <t>Ponca Tribe of Nebraska (Medical)</t>
  </si>
  <si>
    <t>Sault Tribe Health Division</t>
  </si>
  <si>
    <t>TD Dental LLC</t>
  </si>
  <si>
    <t>Tuolumne Me-Wuk Indian Health Center</t>
  </si>
  <si>
    <t>United Indian Health Services</t>
  </si>
  <si>
    <t>United Indian Health Services (Del Norte)</t>
  </si>
  <si>
    <t>U.S. Nursing Corporation</t>
  </si>
  <si>
    <t>Wentworth-Douglass Hospital and Health Foundation</t>
  </si>
  <si>
    <t>Other</t>
  </si>
  <si>
    <t>Other Income</t>
  </si>
  <si>
    <t>Travel Reimbursement</t>
  </si>
  <si>
    <t>New Billing Payments</t>
  </si>
  <si>
    <t>Line of Credit Advances</t>
  </si>
  <si>
    <t>Access Capital</t>
  </si>
  <si>
    <t>Total Cash Inflows</t>
  </si>
  <si>
    <t>Cash Outflows</t>
  </si>
  <si>
    <t>Expenses &amp; Accounts Payable</t>
  </si>
  <si>
    <t>Access Captial (principal)</t>
  </si>
  <si>
    <t>Access Captial (interest)</t>
  </si>
  <si>
    <t>Ascen Payroll</t>
  </si>
  <si>
    <t>Ascen Payroll Taxes &amp; Fees</t>
  </si>
  <si>
    <t>Consultants Exchange Management Services Inc.</t>
  </si>
  <si>
    <t>Contractors/Payroll</t>
  </si>
  <si>
    <t>CC Payments (Generally Travel Reimbursement)</t>
  </si>
  <si>
    <t>Insurance &amp; Licenses</t>
  </si>
  <si>
    <t>New Payroll</t>
  </si>
  <si>
    <t>Other Contractors</t>
  </si>
  <si>
    <t>Prepaid Expenses</t>
  </si>
  <si>
    <t>Professional Services</t>
  </si>
  <si>
    <t>Rent - 725 Suites LLC</t>
  </si>
  <si>
    <t>Subscriptions &amp; Software</t>
  </si>
  <si>
    <t>Travel Expenses</t>
  </si>
  <si>
    <t>Utilities &amp; Phone</t>
  </si>
  <si>
    <t>VMS Fees</t>
  </si>
  <si>
    <t>Other Expenses</t>
  </si>
  <si>
    <t>Advertising</t>
  </si>
  <si>
    <t>Bank Fee</t>
  </si>
  <si>
    <t>Distributions</t>
  </si>
  <si>
    <t>New Software</t>
  </si>
  <si>
    <t>Office Supplies</t>
  </si>
  <si>
    <t>Licensing &amp; Fees</t>
  </si>
  <si>
    <t>Loan Fees</t>
  </si>
  <si>
    <t>Reimbursement Expenses (generally travel not on CC)</t>
  </si>
  <si>
    <t>Total Cash Outflows</t>
  </si>
  <si>
    <t>Ending Bank Balance</t>
  </si>
  <si>
    <t>Starting Loan Balance</t>
  </si>
  <si>
    <t>Weekly P&amp;L (meaning what was billed vs what was spent -&gt; this is not direct yet because we bill 1099 the week before the payroll is paid)</t>
  </si>
  <si>
    <t>Amount Inelligible Over 90</t>
  </si>
  <si>
    <t>Amount Inelligible Distribution Limits - Tribal</t>
  </si>
  <si>
    <t>Amount Inelligible Distribution Limits - Traditional</t>
  </si>
  <si>
    <t>Payer</t>
  </si>
  <si>
    <t>6/9/25</t>
  </si>
  <si>
    <t>6/16/25</t>
  </si>
  <si>
    <t>6/23/25</t>
  </si>
  <si>
    <t>6/30/25</t>
  </si>
  <si>
    <t>7/7/25</t>
  </si>
  <si>
    <t>7/14/25</t>
  </si>
  <si>
    <t>7/21/25</t>
  </si>
  <si>
    <t>7/28/25</t>
  </si>
  <si>
    <t>8/4/25</t>
  </si>
  <si>
    <t>8/11/25</t>
  </si>
  <si>
    <t>8/18/25</t>
  </si>
  <si>
    <t>8/25/25</t>
  </si>
  <si>
    <t>9/1/25</t>
  </si>
  <si>
    <t>9/8/25</t>
  </si>
  <si>
    <t>9/15/25</t>
  </si>
  <si>
    <t>9/22/25</t>
  </si>
  <si>
    <t>TOTAL</t>
  </si>
  <si>
    <t>Karuk Tribe</t>
  </si>
  <si>
    <t>LifePoint Corporate Services</t>
  </si>
  <si>
    <t>Sault Tribe Health Division (Sault Ste. Marie - Medical)</t>
  </si>
  <si>
    <t>Sault Tribe Health Division (St. Ignace)</t>
  </si>
  <si>
    <t>Shasta Community Health Center</t>
  </si>
  <si>
    <t>TOTAL REMAINING</t>
  </si>
  <si>
    <t>US Nursing</t>
  </si>
  <si>
    <t>NEW CLIENTS</t>
  </si>
  <si>
    <t>Payroll</t>
  </si>
  <si>
    <t>W2 Payroll</t>
  </si>
  <si>
    <t>1099 Payroll</t>
  </si>
  <si>
    <t>Last Name</t>
  </si>
  <si>
    <t>First Name</t>
  </si>
  <si>
    <t>Role</t>
  </si>
  <si>
    <t>Commissions</t>
  </si>
  <si>
    <t>Smith</t>
  </si>
  <si>
    <t>Aaron</t>
  </si>
  <si>
    <t>Cassidy</t>
  </si>
  <si>
    <t>Bob</t>
  </si>
  <si>
    <t>Yes</t>
  </si>
  <si>
    <t>Noonan</t>
  </si>
  <si>
    <t>Bridget</t>
  </si>
  <si>
    <t>Bradley</t>
  </si>
  <si>
    <t>Chase</t>
  </si>
  <si>
    <t>Smaltz</t>
  </si>
  <si>
    <t>Christine</t>
  </si>
  <si>
    <t>Lain</t>
  </si>
  <si>
    <t>Madison</t>
  </si>
  <si>
    <t>Schroeder</t>
  </si>
  <si>
    <t>Megan</t>
  </si>
  <si>
    <t>Ryan</t>
  </si>
  <si>
    <t>Michael</t>
  </si>
  <si>
    <t>Timmons</t>
  </si>
  <si>
    <t>Lemay</t>
  </si>
  <si>
    <t>Nick</t>
  </si>
  <si>
    <t>Vice President of Inpatient Services</t>
  </si>
  <si>
    <t>Dargusch</t>
  </si>
  <si>
    <t>Shawn</t>
  </si>
  <si>
    <t>Barnum</t>
  </si>
  <si>
    <t>Taylor</t>
  </si>
  <si>
    <t>Sullivan</t>
  </si>
  <si>
    <t>Contractors (2 paid on last Friday of each month)</t>
  </si>
  <si>
    <t>New Employees</t>
  </si>
  <si>
    <t>Dave</t>
  </si>
  <si>
    <t>Commisions Paid</t>
  </si>
  <si>
    <t>David</t>
  </si>
  <si>
    <t>TOTALS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</si>
</sst>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&quot;$&quot;* #,##0.00_);_(&quot;$&quot;* \(#,##0.00\);_(&quot;$&quot;* &quot;-&quot;??_);_(@_)"/>
    <numFmt numFmtId="165" formatCode="m/d/yy"/>
    <numFmt numFmtId="166" formatCode="mm/dd/yyyy"/>
    <numFmt numFmtId="167" formatCode="&quot;$&quot;#,##0.00"/>
  </numFmts>
  <fonts count="15">
    <font>
      <sz val="11.0"/>
      <color theme="1"/>
      <name val="Aptos Narrow"/>
      <scheme val="minor"/>
    </font>
    <font>
      <sz val="12.0"/>
      <color rgb="FF000000"/>
      <name val="Aptos Narrow"/>
    </font>
    <font>
      <sz val="16.0"/>
      <color rgb="FFFFFFFF"/>
      <name val="Aptos Narrow"/>
    </font>
    <font/>
    <font>
      <b/>
      <sz val="12.0"/>
      <color rgb="FF000000"/>
      <name val="Aptos Narrow"/>
    </font>
    <font>
      <sz val="12.0"/>
      <color rgb="FF000000"/>
      <name val="Arial"/>
    </font>
    <font>
      <color theme="1"/>
      <name val="Aptos Narrow"/>
    </font>
    <font>
      <color theme="1"/>
      <name val="Arial"/>
    </font>
    <font>
      <sz val="12.0"/>
      <color theme="1"/>
      <name val="Aptos Narrow"/>
    </font>
    <font>
      <sz val="11.0"/>
      <color theme="1"/>
      <name val="Aptos Narrow"/>
    </font>
    <font>
      <b/>
      <sz val="12.0"/>
      <color rgb="FF000000"/>
      <name val="Arial"/>
    </font>
    <font>
      <b/>
      <sz val="11.0"/>
      <color theme="1"/>
      <name val="Aptos Narrow"/>
    </font>
    <font>
      <b/>
      <sz val="11.0"/>
      <color theme="1"/>
      <name val="Calibri"/>
    </font>
    <font>
      <sz val="11.0"/>
      <color theme="1"/>
      <name val="Calibri"/>
    </font>
    <font>
      <b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977E"/>
        <bgColor rgb="FFF2977E"/>
      </patternFill>
    </fill>
    <fill>
      <patternFill patternType="solid">
        <fgColor rgb="FFA3A5D0"/>
        <bgColor rgb="FFA3A5D0"/>
      </patternFill>
    </fill>
    <fill>
      <patternFill patternType="solid">
        <fgColor rgb="FFBFBFBF"/>
        <bgColor rgb="FFBFBFBF"/>
      </patternFill>
    </fill>
    <fill>
      <patternFill patternType="solid">
        <fgColor rgb="FF53C9B8"/>
        <bgColor rgb="FF53C9B8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13">
    <border/>
    <border>
      <left/>
      <top/>
    </border>
    <border>
      <top/>
    </border>
    <border>
      <left/>
    </border>
    <border>
      <left/>
      <right/>
      <top/>
      <bottom/>
    </border>
    <border>
      <left/>
      <top/>
      <bottom/>
    </border>
    <border>
      <top/>
      <bottom/>
    </border>
    <border>
      <right style="thick">
        <color rgb="FF000000"/>
      </right>
      <top/>
      <bottom/>
    </border>
    <border>
      <left/>
      <right style="thick">
        <color rgb="FF000000"/>
      </right>
      <top/>
      <bottom/>
    </border>
    <border>
      <right style="thick">
        <color rgb="FF000000"/>
      </right>
    </border>
    <border>
      <left/>
      <right/>
      <top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shrinkToFit="0" wrapText="1"/>
    </xf>
    <xf borderId="2" fillId="0" fontId="3" numFmtId="0" xfId="0" applyBorder="1" applyFont="1"/>
    <xf borderId="3" fillId="0" fontId="3" numFmtId="0" xfId="0" applyBorder="1" applyFont="1"/>
    <xf borderId="4" fillId="3" fontId="4" numFmtId="0" xfId="0" applyBorder="1" applyFill="1" applyFont="1"/>
    <xf borderId="5" fillId="3" fontId="4" numFmtId="0" xfId="0" applyAlignment="1" applyBorder="1" applyFont="1">
      <alignment horizontal="center" shrinkToFit="0" wrapText="1"/>
    </xf>
    <xf borderId="6" fillId="0" fontId="3" numFmtId="0" xfId="0" applyBorder="1" applyFont="1"/>
    <xf borderId="7" fillId="0" fontId="3" numFmtId="0" xfId="0" applyBorder="1" applyFont="1"/>
    <xf borderId="5" fillId="3" fontId="4" numFmtId="0" xfId="0" applyAlignment="1" applyBorder="1" applyFont="1">
      <alignment shrinkToFit="0" wrapText="1"/>
    </xf>
    <xf borderId="4" fillId="3" fontId="1" numFmtId="14" xfId="0" applyAlignment="1" applyBorder="1" applyFont="1" applyNumberFormat="1">
      <alignment horizontal="center"/>
    </xf>
    <xf borderId="8" fillId="3" fontId="1" numFmtId="14" xfId="0" applyAlignment="1" applyBorder="1" applyFont="1" applyNumberFormat="1">
      <alignment horizontal="center"/>
    </xf>
    <xf borderId="4" fillId="3" fontId="5" numFmtId="14" xfId="0" applyAlignment="1" applyBorder="1" applyFont="1" applyNumberFormat="1">
      <alignment horizontal="center" readingOrder="0"/>
    </xf>
    <xf borderId="4" fillId="3" fontId="4" numFmtId="0" xfId="0" applyAlignment="1" applyBorder="1" applyFont="1">
      <alignment horizontal="center"/>
    </xf>
    <xf borderId="8" fillId="3" fontId="4" numFmtId="0" xfId="0" applyAlignment="1" applyBorder="1" applyFont="1">
      <alignment horizontal="center"/>
    </xf>
    <xf borderId="9" fillId="0" fontId="1" numFmtId="0" xfId="0" applyBorder="1" applyFont="1"/>
    <xf borderId="4" fillId="3" fontId="1" numFmtId="164" xfId="0" applyBorder="1" applyFont="1" applyNumberFormat="1"/>
    <xf borderId="8" fillId="3" fontId="1" numFmtId="164" xfId="0" applyBorder="1" applyFont="1" applyNumberFormat="1"/>
    <xf borderId="4" fillId="3" fontId="5" numFmtId="164" xfId="0" applyAlignment="1" applyBorder="1" applyFont="1" applyNumberFormat="1">
      <alignment readingOrder="0"/>
    </xf>
    <xf borderId="0" fillId="0" fontId="1" numFmtId="164" xfId="0" applyFont="1" applyNumberFormat="1"/>
    <xf borderId="9" fillId="0" fontId="1" numFmtId="164" xfId="0" applyBorder="1" applyFont="1" applyNumberFormat="1"/>
    <xf borderId="0" fillId="0" fontId="4" numFmtId="0" xfId="0" applyFont="1"/>
    <xf borderId="5" fillId="4" fontId="4" numFmtId="0" xfId="0" applyBorder="1" applyFill="1" applyFont="1"/>
    <xf borderId="4" fillId="4" fontId="1" numFmtId="164" xfId="0" applyBorder="1" applyFont="1" applyNumberFormat="1"/>
    <xf borderId="8" fillId="4" fontId="1" numFmtId="164" xfId="0" applyBorder="1" applyFont="1" applyNumberFormat="1"/>
    <xf borderId="9" fillId="0" fontId="5" numFmtId="164" xfId="0" applyBorder="1" applyFont="1" applyNumberFormat="1"/>
    <xf borderId="4" fillId="5" fontId="1" numFmtId="164" xfId="0" applyBorder="1" applyFill="1" applyFont="1" applyNumberFormat="1"/>
    <xf borderId="4" fillId="5" fontId="5" numFmtId="164" xfId="0" applyBorder="1" applyFont="1" applyNumberFormat="1"/>
    <xf borderId="4" fillId="5" fontId="5" numFmtId="164" xfId="0" applyAlignment="1" applyBorder="1" applyFont="1" applyNumberFormat="1">
      <alignment readingOrder="0"/>
    </xf>
    <xf borderId="0" fillId="0" fontId="5" numFmtId="164" xfId="0" applyFont="1" applyNumberFormat="1"/>
    <xf borderId="0" fillId="0" fontId="1" numFmtId="0" xfId="0" applyAlignment="1" applyFont="1">
      <alignment readingOrder="0"/>
    </xf>
    <xf borderId="9" fillId="0" fontId="1" numFmtId="164" xfId="0" applyAlignment="1" applyBorder="1" applyFont="1" applyNumberFormat="1">
      <alignment readingOrder="0"/>
    </xf>
    <xf borderId="9" fillId="0" fontId="5" numFmtId="164" xfId="0" applyAlignment="1" applyBorder="1" applyFont="1" applyNumberFormat="1">
      <alignment readingOrder="0"/>
    </xf>
    <xf borderId="0" fillId="0" fontId="5" numFmtId="0" xfId="0" applyFont="1"/>
    <xf borderId="0" fillId="0" fontId="6" numFmtId="164" xfId="0" applyFont="1" applyNumberFormat="1"/>
    <xf borderId="0" fillId="0" fontId="7" numFmtId="164" xfId="0" applyFont="1" applyNumberFormat="1"/>
    <xf borderId="10" fillId="4" fontId="1" numFmtId="164" xfId="0" applyBorder="1" applyFont="1" applyNumberFormat="1"/>
    <xf borderId="0" fillId="0" fontId="8" numFmtId="164" xfId="0" applyAlignment="1" applyFont="1" applyNumberFormat="1">
      <alignment horizontal="right" vertical="bottom"/>
    </xf>
    <xf borderId="9" fillId="0" fontId="8" numFmtId="164" xfId="0" applyAlignment="1" applyBorder="1" applyFont="1" applyNumberFormat="1">
      <alignment horizontal="right" vertical="bottom"/>
    </xf>
    <xf borderId="11" fillId="5" fontId="1" numFmtId="164" xfId="0" applyBorder="1" applyFont="1" applyNumberFormat="1"/>
    <xf borderId="0" fillId="0" fontId="5" numFmtId="16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4" fillId="5" fontId="1" numFmtId="164" xfId="0" applyAlignment="1" applyBorder="1" applyFont="1" applyNumberFormat="1">
      <alignment readingOrder="0"/>
    </xf>
    <xf borderId="0" fillId="0" fontId="5" numFmtId="0" xfId="0" applyAlignment="1" applyFont="1">
      <alignment readingOrder="0"/>
    </xf>
    <xf borderId="0" fillId="0" fontId="9" numFmtId="164" xfId="0" applyFont="1" applyNumberFormat="1"/>
    <xf borderId="5" fillId="3" fontId="10" numFmtId="0" xfId="0" applyAlignment="1" applyBorder="1" applyFont="1">
      <alignment shrinkToFit="0" wrapText="1"/>
    </xf>
    <xf borderId="0" fillId="3" fontId="5" numFmtId="164" xfId="0" applyAlignment="1" applyFont="1" applyNumberFormat="1">
      <alignment readingOrder="0"/>
    </xf>
    <xf borderId="7" fillId="3" fontId="5" numFmtId="164" xfId="0" applyAlignment="1" applyBorder="1" applyFont="1" applyNumberFormat="1">
      <alignment readingOrder="0"/>
    </xf>
    <xf borderId="5" fillId="5" fontId="10" numFmtId="0" xfId="0" applyAlignment="1" applyBorder="1" applyFont="1">
      <alignment shrinkToFit="0" wrapText="1"/>
    </xf>
    <xf borderId="0" fillId="5" fontId="5" numFmtId="164" xfId="0" applyFont="1" applyNumberFormat="1"/>
    <xf borderId="5" fillId="4" fontId="10" numFmtId="0" xfId="0" applyAlignment="1" applyBorder="1" applyFont="1">
      <alignment readingOrder="0" shrinkToFit="0" wrapText="1"/>
    </xf>
    <xf borderId="0" fillId="4" fontId="5" numFmtId="164" xfId="0" applyAlignment="1" applyFont="1" applyNumberFormat="1">
      <alignment readingOrder="0"/>
    </xf>
    <xf borderId="0" fillId="4" fontId="5" numFmtId="164" xfId="0" applyFont="1" applyNumberFormat="1"/>
    <xf borderId="5" fillId="0" fontId="10" numFmtId="0" xfId="0" applyAlignment="1" applyBorder="1" applyFont="1">
      <alignment readingOrder="0" shrinkToFit="0" wrapText="1"/>
    </xf>
    <xf borderId="0" fillId="0" fontId="11" numFmtId="0" xfId="0" applyAlignment="1" applyFont="1">
      <alignment shrinkToFit="0" wrapText="1"/>
    </xf>
    <xf borderId="12" fillId="0" fontId="12" numFmtId="0" xfId="0" applyAlignment="1" applyBorder="1" applyFont="1">
      <alignment horizontal="center" vertical="top"/>
    </xf>
    <xf borderId="12" fillId="0" fontId="12" numFmtId="165" xfId="0" applyAlignment="1" applyBorder="1" applyFont="1" applyNumberFormat="1">
      <alignment horizontal="center" vertical="top"/>
    </xf>
    <xf borderId="0" fillId="0" fontId="12" numFmtId="0" xfId="0" applyAlignment="1" applyFont="1">
      <alignment horizontal="center" vertical="top"/>
    </xf>
    <xf borderId="0" fillId="0" fontId="13" numFmtId="0" xfId="0" applyAlignment="1" applyFont="1">
      <alignment vertical="bottom"/>
    </xf>
    <xf borderId="0" fillId="0" fontId="13" numFmtId="4" xfId="0" applyAlignment="1" applyFont="1" applyNumberFormat="1">
      <alignment horizontal="right" vertical="bottom"/>
    </xf>
    <xf borderId="0" fillId="0" fontId="13" numFmtId="0" xfId="0" applyAlignment="1" applyFont="1">
      <alignment horizontal="right" vertical="bottom"/>
    </xf>
    <xf borderId="0" fillId="0" fontId="13" numFmtId="4" xfId="0" applyAlignment="1" applyFont="1" applyNumberFormat="1">
      <alignment vertical="bottom"/>
    </xf>
    <xf borderId="0" fillId="0" fontId="13" numFmtId="3" xfId="0" applyAlignment="1" applyFont="1" applyNumberFormat="1">
      <alignment horizontal="right" vertical="bottom"/>
    </xf>
    <xf borderId="0" fillId="0" fontId="14" numFmtId="0" xfId="0" applyAlignment="1" applyFont="1">
      <alignment horizontal="center" vertical="bottom"/>
    </xf>
    <xf borderId="0" fillId="0" fontId="14" numFmtId="0" xfId="0" applyAlignment="1" applyFont="1">
      <alignment horizontal="center" shrinkToFit="0" vertical="bottom" wrapText="1"/>
    </xf>
    <xf borderId="0" fillId="0" fontId="14" numFmtId="166" xfId="0" applyAlignment="1" applyFont="1" applyNumberFormat="1">
      <alignment horizontal="center" vertical="bottom"/>
    </xf>
    <xf borderId="0" fillId="0" fontId="7" numFmtId="0" xfId="0" applyAlignment="1" applyFont="1">
      <alignment vertical="bottom"/>
    </xf>
    <xf borderId="0" fillId="0" fontId="7" numFmtId="4" xfId="0" applyAlignment="1" applyFont="1" applyNumberFormat="1">
      <alignment horizontal="right" vertical="bottom"/>
    </xf>
    <xf borderId="0" fillId="0" fontId="7" numFmtId="4" xfId="0" applyAlignment="1" applyFont="1" applyNumberFormat="1">
      <alignment vertical="bottom"/>
    </xf>
    <xf borderId="0" fillId="0" fontId="7" numFmtId="0" xfId="0" applyAlignment="1" applyFont="1">
      <alignment shrinkToFit="0" vertical="bottom" wrapText="1"/>
    </xf>
    <xf borderId="0" fillId="0" fontId="7" numFmtId="2" xfId="0" applyAlignment="1" applyFont="1" applyNumberFormat="1">
      <alignment horizontal="right" vertical="bottom"/>
    </xf>
    <xf borderId="0" fillId="6" fontId="7" numFmtId="4" xfId="0" applyAlignment="1" applyFill="1" applyFont="1" applyNumberFormat="1">
      <alignment vertical="bottom"/>
    </xf>
    <xf borderId="0" fillId="0" fontId="7" numFmtId="4" xfId="0" applyFont="1" applyNumberFormat="1"/>
    <xf borderId="0" fillId="0" fontId="6" numFmtId="4" xfId="0" applyFont="1" applyNumberFormat="1"/>
    <xf borderId="0" fillId="7" fontId="7" numFmtId="0" xfId="0" applyAlignment="1" applyFill="1" applyFont="1">
      <alignment vertical="bottom"/>
    </xf>
    <xf borderId="0" fillId="7" fontId="7" numFmtId="167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7.0" topLeftCell="B8" activePane="bottomRight" state="frozen"/>
      <selection activeCell="B1" sqref="B1" pane="topRight"/>
      <selection activeCell="A8" sqref="A8" pane="bottomLeft"/>
      <selection activeCell="B8" sqref="B8" pane="bottomRight"/>
    </sheetView>
  </sheetViews>
  <sheetFormatPr customHeight="1" defaultColWidth="12.63" defaultRowHeight="15.0" outlineLevelRow="1"/>
  <cols>
    <col customWidth="1" min="1" max="3" width="8.88"/>
    <col customWidth="1" min="4" max="4" width="58.75"/>
    <col customWidth="1" min="5" max="6" width="14.38"/>
    <col customWidth="1" min="7" max="7" width="16.5"/>
    <col customWidth="1" min="8" max="8" width="14.38"/>
    <col customWidth="1" min="9" max="9" width="15.88"/>
    <col customWidth="1" min="10" max="21" width="14.38"/>
  </cols>
  <sheetData>
    <row r="1" ht="15.0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>
      <c r="A2" s="1"/>
      <c r="B2" s="4"/>
    </row>
    <row r="3">
      <c r="A3" s="1"/>
      <c r="B3" s="4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ht="15.0" customHeight="1">
      <c r="A5" s="1"/>
      <c r="B5" s="5" t="s">
        <v>1</v>
      </c>
      <c r="C5" s="5" t="s">
        <v>1</v>
      </c>
      <c r="D5" s="5" t="s">
        <v>1</v>
      </c>
      <c r="E5" s="6" t="s">
        <v>2</v>
      </c>
      <c r="F5" s="7"/>
      <c r="G5" s="7"/>
      <c r="H5" s="8"/>
      <c r="I5" s="6" t="s">
        <v>3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6" ht="15.0" customHeight="1">
      <c r="A6" s="1"/>
      <c r="B6" s="9" t="s">
        <v>4</v>
      </c>
      <c r="C6" s="7"/>
      <c r="D6" s="7"/>
      <c r="E6" s="10">
        <f t="shared" ref="E6:H6" si="1">F6-7</f>
        <v>46041</v>
      </c>
      <c r="F6" s="10">
        <f t="shared" si="1"/>
        <v>46048</v>
      </c>
      <c r="G6" s="10">
        <f t="shared" si="1"/>
        <v>46055</v>
      </c>
      <c r="H6" s="11">
        <f t="shared" si="1"/>
        <v>46062</v>
      </c>
      <c r="I6" s="12">
        <v>46069.0</v>
      </c>
      <c r="J6" s="10">
        <f t="shared" ref="J6:U6" si="2">I6+7</f>
        <v>46076</v>
      </c>
      <c r="K6" s="10">
        <f t="shared" si="2"/>
        <v>46083</v>
      </c>
      <c r="L6" s="10">
        <f t="shared" si="2"/>
        <v>46090</v>
      </c>
      <c r="M6" s="10">
        <f t="shared" si="2"/>
        <v>46097</v>
      </c>
      <c r="N6" s="10">
        <f t="shared" si="2"/>
        <v>46104</v>
      </c>
      <c r="O6" s="10">
        <f t="shared" si="2"/>
        <v>46111</v>
      </c>
      <c r="P6" s="10">
        <f t="shared" si="2"/>
        <v>46118</v>
      </c>
      <c r="Q6" s="10">
        <f t="shared" si="2"/>
        <v>46125</v>
      </c>
      <c r="R6" s="10">
        <f t="shared" si="2"/>
        <v>46132</v>
      </c>
      <c r="S6" s="10">
        <f t="shared" si="2"/>
        <v>46139</v>
      </c>
      <c r="T6" s="10">
        <f t="shared" si="2"/>
        <v>46146</v>
      </c>
      <c r="U6" s="10">
        <f t="shared" si="2"/>
        <v>46153</v>
      </c>
    </row>
    <row r="7" ht="15.0" customHeight="1">
      <c r="A7" s="1"/>
      <c r="B7" s="9" t="s">
        <v>5</v>
      </c>
      <c r="C7" s="7"/>
      <c r="D7" s="7"/>
      <c r="E7" s="13" t="s">
        <v>1</v>
      </c>
      <c r="F7" s="13" t="s">
        <v>1</v>
      </c>
      <c r="G7" s="13" t="s">
        <v>1</v>
      </c>
      <c r="H7" s="14" t="s">
        <v>1</v>
      </c>
      <c r="I7" s="13" t="s">
        <v>6</v>
      </c>
      <c r="J7" s="13" t="s">
        <v>7</v>
      </c>
      <c r="K7" s="13" t="s">
        <v>8</v>
      </c>
      <c r="L7" s="13" t="s">
        <v>9</v>
      </c>
      <c r="M7" s="13" t="s">
        <v>10</v>
      </c>
      <c r="N7" s="13" t="s">
        <v>11</v>
      </c>
      <c r="O7" s="13" t="s">
        <v>12</v>
      </c>
      <c r="P7" s="13" t="s">
        <v>13</v>
      </c>
      <c r="Q7" s="13" t="s">
        <v>14</v>
      </c>
      <c r="R7" s="13" t="s">
        <v>15</v>
      </c>
      <c r="S7" s="13" t="s">
        <v>16</v>
      </c>
      <c r="T7" s="13" t="s">
        <v>17</v>
      </c>
      <c r="U7" s="13" t="s">
        <v>18</v>
      </c>
    </row>
    <row r="8">
      <c r="A8" s="1"/>
      <c r="B8" s="1"/>
      <c r="C8" s="1"/>
      <c r="D8" s="1"/>
      <c r="E8" s="1"/>
      <c r="F8" s="1"/>
      <c r="G8" s="1"/>
      <c r="H8" s="15" t="s">
        <v>1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ht="15.0" customHeight="1">
      <c r="A9" s="1"/>
      <c r="B9" s="9" t="s">
        <v>19</v>
      </c>
      <c r="C9" s="7"/>
      <c r="D9" s="7"/>
      <c r="E9" s="16">
        <f t="shared" ref="E9:H9" si="3">E88-E86-E54</f>
        <v>99783.4783</v>
      </c>
      <c r="F9" s="16">
        <f t="shared" si="3"/>
        <v>128888.1378</v>
      </c>
      <c r="G9" s="16">
        <f t="shared" si="3"/>
        <v>211941.162</v>
      </c>
      <c r="H9" s="17">
        <f t="shared" si="3"/>
        <v>275905.0097</v>
      </c>
      <c r="I9" s="18">
        <v>250799.26</v>
      </c>
      <c r="J9" s="16">
        <f t="shared" ref="J9:U9" si="4">I88</f>
        <v>274697.5273</v>
      </c>
      <c r="K9" s="16">
        <f t="shared" si="4"/>
        <v>276172.0957</v>
      </c>
      <c r="L9" s="16">
        <f t="shared" si="4"/>
        <v>274809.7759</v>
      </c>
      <c r="M9" s="16">
        <f t="shared" si="4"/>
        <v>271368.5288</v>
      </c>
      <c r="N9" s="16">
        <f t="shared" si="4"/>
        <v>273476.3739</v>
      </c>
      <c r="O9" s="16">
        <f t="shared" si="4"/>
        <v>272246.9849</v>
      </c>
      <c r="P9" s="16">
        <f t="shared" si="4"/>
        <v>273351.9429</v>
      </c>
      <c r="Q9" s="16">
        <f t="shared" si="4"/>
        <v>273965.3673</v>
      </c>
      <c r="R9" s="16">
        <f t="shared" si="4"/>
        <v>273389.0953</v>
      </c>
      <c r="S9" s="16">
        <f t="shared" si="4"/>
        <v>274886.2959</v>
      </c>
      <c r="T9" s="16">
        <f t="shared" si="4"/>
        <v>274466.176</v>
      </c>
      <c r="U9" s="16">
        <f t="shared" si="4"/>
        <v>271227.366</v>
      </c>
    </row>
    <row r="10">
      <c r="A10" s="1"/>
      <c r="B10" s="1"/>
      <c r="C10" s="1"/>
      <c r="D10" s="1"/>
      <c r="E10" s="19"/>
      <c r="F10" s="19"/>
      <c r="G10" s="19"/>
      <c r="H10" s="20" t="s">
        <v>1</v>
      </c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</row>
    <row r="11" ht="15.0" customHeight="1">
      <c r="A11" s="1"/>
      <c r="B11" s="21" t="s">
        <v>20</v>
      </c>
      <c r="E11" s="19"/>
      <c r="F11" s="19"/>
      <c r="G11" s="19"/>
      <c r="H11" s="20" t="s">
        <v>1</v>
      </c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</row>
    <row r="12" ht="15.0" customHeight="1">
      <c r="A12" s="1"/>
      <c r="B12" s="1"/>
      <c r="C12" s="22" t="s">
        <v>21</v>
      </c>
      <c r="D12" s="7"/>
      <c r="E12" s="23">
        <f t="shared" ref="E12:U12" si="5">SUM(E13:E45)</f>
        <v>261924.06</v>
      </c>
      <c r="F12" s="23">
        <f t="shared" si="5"/>
        <v>239363.15</v>
      </c>
      <c r="G12" s="23">
        <f t="shared" si="5"/>
        <v>180447.95</v>
      </c>
      <c r="H12" s="24">
        <f t="shared" si="5"/>
        <v>153110.06</v>
      </c>
      <c r="I12" s="23">
        <f t="shared" si="5"/>
        <v>68798.12</v>
      </c>
      <c r="J12" s="23">
        <f t="shared" si="5"/>
        <v>95470</v>
      </c>
      <c r="K12" s="23">
        <f t="shared" si="5"/>
        <v>141297.49</v>
      </c>
      <c r="L12" s="23">
        <f t="shared" si="5"/>
        <v>99470</v>
      </c>
      <c r="M12" s="23">
        <f t="shared" si="5"/>
        <v>146000</v>
      </c>
      <c r="N12" s="23">
        <f t="shared" si="5"/>
        <v>116730</v>
      </c>
      <c r="O12" s="23">
        <f t="shared" si="5"/>
        <v>225600</v>
      </c>
      <c r="P12" s="23">
        <f t="shared" si="5"/>
        <v>127340</v>
      </c>
      <c r="Q12" s="23">
        <f t="shared" si="5"/>
        <v>190900.3</v>
      </c>
      <c r="R12" s="23">
        <f t="shared" si="5"/>
        <v>169470</v>
      </c>
      <c r="S12" s="23">
        <f t="shared" si="5"/>
        <v>101000</v>
      </c>
      <c r="T12" s="23">
        <f t="shared" si="5"/>
        <v>167740</v>
      </c>
      <c r="U12" s="23">
        <f t="shared" si="5"/>
        <v>142000</v>
      </c>
    </row>
    <row r="13" outlineLevel="1">
      <c r="A13" s="1"/>
      <c r="B13" s="1"/>
      <c r="C13" s="1"/>
      <c r="D13" s="1" t="s">
        <v>22</v>
      </c>
      <c r="E13" s="19"/>
      <c r="F13" s="19"/>
      <c r="G13" s="19"/>
      <c r="H13" s="25"/>
      <c r="I13" s="26"/>
      <c r="J13" s="27"/>
      <c r="K13" s="28">
        <v>20000.0</v>
      </c>
      <c r="L13" s="27"/>
      <c r="M13" s="26"/>
      <c r="N13" s="27"/>
      <c r="O13" s="28">
        <v>20000.0</v>
      </c>
      <c r="P13" s="26"/>
      <c r="Q13" s="26"/>
      <c r="R13" s="28">
        <v>45000.0</v>
      </c>
      <c r="S13" s="27"/>
      <c r="T13" s="27"/>
      <c r="U13" s="27"/>
    </row>
    <row r="14" outlineLevel="1">
      <c r="A14" s="1"/>
      <c r="B14" s="1"/>
      <c r="C14" s="1"/>
      <c r="D14" s="1" t="s">
        <v>23</v>
      </c>
      <c r="E14" s="19"/>
      <c r="F14" s="19">
        <v>28000.0</v>
      </c>
      <c r="G14" s="29"/>
      <c r="H14" s="20"/>
      <c r="I14" s="27"/>
      <c r="J14" s="27"/>
      <c r="K14" s="26"/>
      <c r="L14" s="26"/>
      <c r="M14" s="26"/>
      <c r="N14" s="26"/>
      <c r="O14" s="26"/>
      <c r="P14" s="26"/>
      <c r="Q14" s="26"/>
      <c r="R14" s="26"/>
      <c r="S14" s="27"/>
      <c r="T14" s="27"/>
      <c r="U14" s="27"/>
    </row>
    <row r="15" outlineLevel="1">
      <c r="A15" s="1"/>
      <c r="B15" s="1"/>
      <c r="C15" s="1"/>
      <c r="D15" s="1" t="s">
        <v>24</v>
      </c>
      <c r="E15" s="19"/>
      <c r="F15" s="19"/>
      <c r="G15" s="19"/>
      <c r="H15" s="20"/>
      <c r="I15" s="27"/>
      <c r="J15" s="27"/>
      <c r="K15" s="26"/>
      <c r="L15" s="26"/>
      <c r="M15" s="26"/>
      <c r="N15" s="26"/>
      <c r="O15" s="26"/>
      <c r="P15" s="26"/>
      <c r="Q15" s="26"/>
      <c r="R15" s="26"/>
      <c r="S15" s="27"/>
      <c r="T15" s="27"/>
      <c r="U15" s="27"/>
    </row>
    <row r="16" outlineLevel="1">
      <c r="A16" s="1"/>
      <c r="B16" s="1"/>
      <c r="C16" s="1"/>
      <c r="D16" s="1" t="s">
        <v>25</v>
      </c>
      <c r="E16" s="19"/>
      <c r="F16" s="19"/>
      <c r="G16" s="19"/>
      <c r="H16" s="25">
        <v>50000.0</v>
      </c>
      <c r="I16" s="27"/>
      <c r="J16" s="27"/>
      <c r="K16" s="27">
        <v>50000.0</v>
      </c>
      <c r="L16" s="27"/>
      <c r="M16" s="27">
        <v>50000.0</v>
      </c>
      <c r="N16" s="27"/>
      <c r="O16" s="27">
        <v>50000.0</v>
      </c>
      <c r="P16" s="27"/>
      <c r="Q16" s="27">
        <v>39700.3</v>
      </c>
      <c r="R16" s="27"/>
      <c r="S16" s="27"/>
      <c r="T16" s="27"/>
      <c r="U16" s="27"/>
    </row>
    <row r="17" outlineLevel="1">
      <c r="A17" s="1"/>
      <c r="B17" s="1"/>
      <c r="C17" s="1"/>
      <c r="D17" s="30" t="s">
        <v>26</v>
      </c>
      <c r="E17" s="19"/>
      <c r="F17" s="19"/>
      <c r="G17" s="29"/>
      <c r="H17" s="25"/>
      <c r="I17" s="28">
        <v>5104.0</v>
      </c>
      <c r="J17" s="26"/>
      <c r="K17" s="26"/>
      <c r="L17" s="28">
        <v>4000.0</v>
      </c>
      <c r="M17" s="26"/>
      <c r="N17" s="26"/>
      <c r="O17" s="28">
        <v>4000.0</v>
      </c>
      <c r="P17" s="26"/>
      <c r="Q17" s="26"/>
      <c r="R17" s="28">
        <v>4000.0</v>
      </c>
      <c r="S17" s="27"/>
      <c r="T17" s="28">
        <v>4000.0</v>
      </c>
      <c r="U17" s="27"/>
    </row>
    <row r="18" outlineLevel="1">
      <c r="A18" s="1"/>
      <c r="B18" s="1"/>
      <c r="C18" s="1"/>
      <c r="D18" s="1" t="s">
        <v>27</v>
      </c>
      <c r="E18" s="19"/>
      <c r="F18" s="19"/>
      <c r="G18" s="29"/>
      <c r="H18" s="25"/>
      <c r="I18" s="27"/>
      <c r="J18" s="26"/>
      <c r="K18" s="26"/>
      <c r="L18" s="26"/>
      <c r="M18" s="26"/>
      <c r="N18" s="26"/>
      <c r="O18" s="26"/>
      <c r="P18" s="26"/>
      <c r="Q18" s="26"/>
      <c r="R18" s="26"/>
      <c r="S18" s="27"/>
      <c r="T18" s="27"/>
      <c r="U18" s="27"/>
    </row>
    <row r="19" outlineLevel="1">
      <c r="A19" s="1"/>
      <c r="B19" s="1"/>
      <c r="C19" s="1"/>
      <c r="D19" s="1" t="s">
        <v>28</v>
      </c>
      <c r="E19" s="19"/>
      <c r="F19" s="19"/>
      <c r="G19" s="29">
        <v>25424.0</v>
      </c>
      <c r="H19" s="31">
        <v>18160.0</v>
      </c>
      <c r="I19" s="27"/>
      <c r="J19" s="27"/>
      <c r="K19" s="26"/>
      <c r="L19" s="26"/>
      <c r="M19" s="28">
        <v>32000.0</v>
      </c>
      <c r="N19" s="26"/>
      <c r="O19" s="26"/>
      <c r="P19" s="26"/>
      <c r="Q19" s="28">
        <v>32000.0</v>
      </c>
      <c r="R19" s="26"/>
      <c r="S19" s="27"/>
      <c r="T19" s="27"/>
      <c r="U19" s="28">
        <v>32000.0</v>
      </c>
    </row>
    <row r="20" outlineLevel="1">
      <c r="A20" s="1"/>
      <c r="B20" s="1"/>
      <c r="C20" s="1"/>
      <c r="D20" s="1" t="s">
        <v>29</v>
      </c>
      <c r="E20" s="19"/>
      <c r="F20" s="19"/>
      <c r="G20" s="19">
        <v>51797.13</v>
      </c>
      <c r="H20" s="20"/>
      <c r="I20" s="27"/>
      <c r="J20" s="27">
        <v>20000.0</v>
      </c>
      <c r="K20" s="28">
        <v>12000.0</v>
      </c>
      <c r="L20" s="27">
        <v>20000.0</v>
      </c>
      <c r="M20" s="28">
        <v>11000.0</v>
      </c>
      <c r="N20" s="27">
        <v>20000.0</v>
      </c>
      <c r="O20" s="28">
        <v>12000.0</v>
      </c>
      <c r="P20" s="27">
        <v>20000.0</v>
      </c>
      <c r="Q20" s="28">
        <v>10000.0</v>
      </c>
      <c r="R20" s="26"/>
      <c r="S20" s="27">
        <v>20000.0</v>
      </c>
      <c r="T20" s="27"/>
      <c r="U20" s="27">
        <v>20000.0</v>
      </c>
    </row>
    <row r="21" outlineLevel="1">
      <c r="A21" s="1"/>
      <c r="B21" s="1"/>
      <c r="C21" s="1"/>
      <c r="D21" s="1" t="s">
        <v>30</v>
      </c>
      <c r="E21" s="19"/>
      <c r="F21" s="19"/>
      <c r="G21" s="19"/>
      <c r="H21" s="20"/>
      <c r="I21" s="27"/>
      <c r="J21" s="26"/>
      <c r="K21" s="26"/>
      <c r="L21" s="26"/>
      <c r="M21" s="26"/>
      <c r="N21" s="26"/>
      <c r="O21" s="26"/>
      <c r="P21" s="26"/>
      <c r="Q21" s="26"/>
      <c r="R21" s="26"/>
      <c r="S21" s="27"/>
      <c r="T21" s="27"/>
      <c r="U21" s="27"/>
    </row>
    <row r="22" outlineLevel="1">
      <c r="A22" s="1"/>
      <c r="B22" s="1"/>
      <c r="C22" s="1"/>
      <c r="D22" s="1" t="s">
        <v>31</v>
      </c>
      <c r="E22" s="19">
        <v>115677.36</v>
      </c>
      <c r="F22" s="19">
        <v>49326.9</v>
      </c>
      <c r="G22" s="29">
        <v>8320.0</v>
      </c>
      <c r="H22" s="32">
        <v>17488.18</v>
      </c>
      <c r="I22" s="28">
        <v>37099.33</v>
      </c>
      <c r="J22" s="27">
        <v>45000.0</v>
      </c>
      <c r="K22" s="26"/>
      <c r="L22" s="27">
        <v>45000.0</v>
      </c>
      <c r="M22" s="26"/>
      <c r="N22" s="27">
        <v>45000.0</v>
      </c>
      <c r="O22" s="26">
        <v>37000.0</v>
      </c>
      <c r="P22" s="27">
        <v>45000.0</v>
      </c>
      <c r="Q22" s="26"/>
      <c r="R22" s="27">
        <v>45000.0</v>
      </c>
      <c r="S22" s="26"/>
      <c r="T22" s="27">
        <v>45000.0</v>
      </c>
      <c r="U22" s="26"/>
    </row>
    <row r="23" outlineLevel="1">
      <c r="A23" s="1"/>
      <c r="B23" s="1"/>
      <c r="C23" s="1"/>
      <c r="D23" s="1" t="s">
        <v>32</v>
      </c>
      <c r="E23" s="19"/>
      <c r="F23" s="19"/>
      <c r="G23" s="19"/>
      <c r="H23" s="20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</row>
    <row r="24" outlineLevel="1">
      <c r="A24" s="1"/>
      <c r="B24" s="1"/>
      <c r="C24" s="1"/>
      <c r="D24" s="30" t="s">
        <v>33</v>
      </c>
      <c r="E24" s="19"/>
      <c r="F24" s="29"/>
      <c r="G24" s="29"/>
      <c r="H24" s="25"/>
      <c r="I24" s="28">
        <v>4834.79</v>
      </c>
      <c r="J24" s="27"/>
      <c r="K24" s="26"/>
      <c r="L24" s="28">
        <v>4000.0</v>
      </c>
      <c r="M24" s="27"/>
      <c r="N24" s="26"/>
      <c r="O24" s="28">
        <v>3000.0</v>
      </c>
      <c r="P24" s="27"/>
      <c r="Q24" s="28">
        <v>4000.0</v>
      </c>
      <c r="R24" s="26"/>
      <c r="S24" s="28">
        <v>3000.0</v>
      </c>
      <c r="T24" s="26"/>
      <c r="U24" s="26"/>
    </row>
    <row r="25" outlineLevel="1">
      <c r="A25" s="1"/>
      <c r="B25" s="1"/>
      <c r="C25" s="1"/>
      <c r="D25" s="1" t="s">
        <v>34</v>
      </c>
      <c r="E25" s="19">
        <v>10200.0</v>
      </c>
      <c r="F25" s="29"/>
      <c r="G25" s="29"/>
      <c r="H25" s="25"/>
      <c r="I25" s="28">
        <v>21760.0</v>
      </c>
      <c r="J25" s="27"/>
      <c r="K25" s="28">
        <v>22000.0</v>
      </c>
      <c r="L25" s="27"/>
      <c r="M25" s="28">
        <v>17000.0</v>
      </c>
      <c r="N25" s="26"/>
      <c r="O25" s="28">
        <v>15000.0</v>
      </c>
      <c r="P25" s="27"/>
      <c r="Q25" s="28">
        <v>20000.0</v>
      </c>
      <c r="R25" s="26"/>
      <c r="S25" s="28">
        <v>8000.0</v>
      </c>
      <c r="T25" s="26"/>
      <c r="U25" s="26">
        <v>6000.0</v>
      </c>
    </row>
    <row r="26" outlineLevel="1">
      <c r="A26" s="1"/>
      <c r="B26" s="1"/>
      <c r="C26" s="1"/>
      <c r="D26" s="1" t="s">
        <v>35</v>
      </c>
      <c r="E26" s="19">
        <v>24127.39</v>
      </c>
      <c r="F26" s="29">
        <v>39383.81</v>
      </c>
      <c r="G26" s="29">
        <v>14683.08</v>
      </c>
      <c r="H26" s="25">
        <v>22114.85</v>
      </c>
      <c r="I26" s="27"/>
      <c r="J26" s="26"/>
      <c r="K26" s="27">
        <v>11000.0</v>
      </c>
      <c r="L26" s="26"/>
      <c r="M26" s="26"/>
      <c r="N26" s="28">
        <v>14000.0</v>
      </c>
      <c r="O26" s="26"/>
      <c r="P26" s="27"/>
      <c r="Q26" s="28">
        <v>15200.0</v>
      </c>
      <c r="R26" s="26"/>
      <c r="S26" s="26"/>
      <c r="T26" s="28">
        <v>16400.0</v>
      </c>
      <c r="U26" s="26"/>
    </row>
    <row r="27" outlineLevel="1">
      <c r="A27" s="1"/>
      <c r="B27" s="1"/>
      <c r="C27" s="1"/>
      <c r="D27" s="33" t="s">
        <v>36</v>
      </c>
      <c r="E27" s="19"/>
      <c r="F27" s="29"/>
      <c r="G27" s="19"/>
      <c r="H27" s="20"/>
      <c r="I27" s="27"/>
      <c r="J27" s="26"/>
      <c r="K27" s="26"/>
      <c r="L27" s="26"/>
      <c r="M27" s="26"/>
      <c r="N27" s="26"/>
      <c r="O27" s="26"/>
      <c r="P27" s="26"/>
      <c r="Q27" s="26"/>
      <c r="R27" s="26"/>
      <c r="S27" s="27"/>
      <c r="T27" s="27"/>
      <c r="U27" s="26"/>
    </row>
    <row r="28" outlineLevel="1">
      <c r="A28" s="1"/>
      <c r="B28" s="1"/>
      <c r="C28" s="1"/>
      <c r="D28" s="1" t="s">
        <v>37</v>
      </c>
      <c r="E28" s="19">
        <v>32478.77</v>
      </c>
      <c r="F28" s="29"/>
      <c r="G28" s="19"/>
      <c r="H28" s="25"/>
      <c r="I28" s="27"/>
      <c r="J28" s="28">
        <v>10000.0</v>
      </c>
      <c r="K28" s="26"/>
      <c r="L28" s="26"/>
      <c r="M28" s="28">
        <v>8000.0</v>
      </c>
      <c r="N28" s="26"/>
      <c r="O28" s="28">
        <v>5000.0</v>
      </c>
      <c r="P28" s="26"/>
      <c r="Q28" s="26"/>
      <c r="R28" s="28">
        <v>5000.0</v>
      </c>
      <c r="S28" s="27"/>
      <c r="T28" s="27"/>
      <c r="U28" s="26"/>
    </row>
    <row r="29" outlineLevel="1">
      <c r="A29" s="1"/>
      <c r="B29" s="1"/>
      <c r="C29" s="1"/>
      <c r="D29" s="1" t="s">
        <v>38</v>
      </c>
      <c r="E29" s="19"/>
      <c r="F29" s="29"/>
      <c r="G29" s="19">
        <v>8518.75</v>
      </c>
      <c r="H29" s="20"/>
      <c r="I29" s="27"/>
      <c r="J29" s="28">
        <v>8500.0</v>
      </c>
      <c r="K29" s="27"/>
      <c r="L29" s="28">
        <v>8500.0</v>
      </c>
      <c r="M29" s="27"/>
      <c r="N29" s="28">
        <v>8500.0</v>
      </c>
      <c r="O29" s="27"/>
      <c r="P29" s="28">
        <v>8500.0</v>
      </c>
      <c r="Q29" s="27"/>
      <c r="R29" s="28">
        <v>8500.0</v>
      </c>
      <c r="S29" s="27"/>
      <c r="T29" s="28">
        <v>8500.0</v>
      </c>
      <c r="U29" s="27"/>
    </row>
    <row r="30" outlineLevel="1">
      <c r="A30" s="1"/>
      <c r="B30" s="1"/>
      <c r="C30" s="1"/>
      <c r="D30" s="1" t="s">
        <v>39</v>
      </c>
      <c r="E30" s="29"/>
      <c r="F30" s="19"/>
      <c r="G30" s="19"/>
      <c r="H30" s="25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</row>
    <row r="31" outlineLevel="1">
      <c r="A31" s="1"/>
      <c r="B31" s="1"/>
      <c r="C31" s="1"/>
      <c r="D31" s="33" t="s">
        <v>40</v>
      </c>
      <c r="E31" s="19"/>
      <c r="F31" s="19"/>
      <c r="G31" s="19">
        <v>11970.0</v>
      </c>
      <c r="H31" s="25">
        <v>8977.5</v>
      </c>
      <c r="I31" s="27"/>
      <c r="J31" s="27">
        <v>11970.0</v>
      </c>
      <c r="K31" s="27"/>
      <c r="L31" s="28">
        <v>17970.0</v>
      </c>
      <c r="M31" s="27"/>
      <c r="N31" s="28">
        <v>19230.0</v>
      </c>
      <c r="O31" s="27"/>
      <c r="P31" s="28">
        <v>23840.0</v>
      </c>
      <c r="Q31" s="27"/>
      <c r="R31" s="28">
        <v>18970.0</v>
      </c>
      <c r="S31" s="27"/>
      <c r="T31" s="28">
        <v>23840.0</v>
      </c>
      <c r="U31" s="27"/>
    </row>
    <row r="32" outlineLevel="1">
      <c r="A32" s="1"/>
      <c r="B32" s="1"/>
      <c r="C32" s="1"/>
      <c r="D32" s="1" t="s">
        <v>41</v>
      </c>
      <c r="E32" s="19">
        <v>73782.58</v>
      </c>
      <c r="F32" s="19">
        <v>19506.28</v>
      </c>
      <c r="G32" s="29">
        <v>59734.99</v>
      </c>
      <c r="H32" s="32">
        <v>36369.53</v>
      </c>
      <c r="I32" s="27"/>
      <c r="J32" s="26"/>
      <c r="K32" s="28">
        <v>21000.0</v>
      </c>
      <c r="L32" s="26"/>
      <c r="M32" s="28">
        <v>28000.0</v>
      </c>
      <c r="N32" s="26"/>
      <c r="O32" s="28">
        <v>29600.0</v>
      </c>
      <c r="P32" s="26"/>
      <c r="Q32" s="26"/>
      <c r="R32" s="28">
        <v>23000.0</v>
      </c>
      <c r="S32" s="27"/>
      <c r="T32" s="27"/>
      <c r="U32" s="28">
        <v>24000.0</v>
      </c>
    </row>
    <row r="33" outlineLevel="1">
      <c r="A33" s="1"/>
      <c r="B33" s="1"/>
      <c r="C33" s="1"/>
      <c r="D33" s="1" t="s">
        <v>42</v>
      </c>
      <c r="E33" s="19"/>
      <c r="F33" s="19"/>
      <c r="G33" s="19"/>
      <c r="H33" s="20"/>
      <c r="I33" s="27"/>
      <c r="J33" s="26"/>
      <c r="K33" s="26"/>
      <c r="L33" s="26"/>
      <c r="M33" s="26"/>
      <c r="N33" s="26"/>
      <c r="O33" s="26"/>
      <c r="P33" s="26"/>
      <c r="Q33" s="26"/>
      <c r="R33" s="26"/>
      <c r="S33" s="27"/>
      <c r="T33" s="27"/>
      <c r="U33" s="27"/>
    </row>
    <row r="34" outlineLevel="1">
      <c r="A34" s="1"/>
      <c r="B34" s="1"/>
      <c r="C34" s="1"/>
      <c r="D34" s="1" t="s">
        <v>43</v>
      </c>
      <c r="E34" s="19"/>
      <c r="F34" s="34"/>
      <c r="G34" s="34"/>
      <c r="H34" s="20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7"/>
      <c r="T34" s="27"/>
      <c r="U34" s="27"/>
    </row>
    <row r="35" outlineLevel="1">
      <c r="A35" s="1"/>
      <c r="B35" s="1"/>
      <c r="C35" s="1"/>
      <c r="D35" s="1" t="s">
        <v>44</v>
      </c>
      <c r="E35" s="19"/>
      <c r="F35" s="34"/>
      <c r="G35" s="35"/>
      <c r="H35" s="20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7"/>
      <c r="T35" s="27"/>
      <c r="U35" s="27"/>
    </row>
    <row r="36" outlineLevel="1">
      <c r="A36" s="1"/>
      <c r="B36" s="1"/>
      <c r="C36" s="1"/>
      <c r="D36" s="1" t="s">
        <v>45</v>
      </c>
      <c r="E36" s="19">
        <v>5657.96</v>
      </c>
      <c r="F36" s="34"/>
      <c r="G36" s="34"/>
      <c r="H36" s="20"/>
      <c r="I36" s="26"/>
      <c r="J36" s="27"/>
      <c r="K36" s="26"/>
      <c r="L36" s="26"/>
      <c r="M36" s="27"/>
      <c r="N36" s="26"/>
      <c r="O36" s="26"/>
      <c r="P36" s="26"/>
      <c r="Q36" s="26"/>
      <c r="R36" s="26"/>
      <c r="S36" s="27"/>
      <c r="T36" s="27"/>
      <c r="U36" s="27"/>
    </row>
    <row r="37" ht="15.75" customHeight="1" outlineLevel="1">
      <c r="A37" s="1"/>
      <c r="B37" s="1"/>
      <c r="C37" s="1"/>
      <c r="D37" s="1" t="s">
        <v>46</v>
      </c>
      <c r="E37" s="19"/>
      <c r="F37" s="19"/>
      <c r="G37" s="29"/>
      <c r="H37" s="20"/>
      <c r="I37" s="27"/>
      <c r="J37" s="27"/>
      <c r="K37" s="26"/>
      <c r="L37" s="26"/>
      <c r="M37" s="26"/>
      <c r="N37" s="26"/>
      <c r="O37" s="26"/>
      <c r="P37" s="26"/>
      <c r="Q37" s="26"/>
      <c r="R37" s="26"/>
      <c r="S37" s="27"/>
      <c r="T37" s="27"/>
      <c r="U37" s="27"/>
    </row>
    <row r="38" ht="15.75" customHeight="1" outlineLevel="1">
      <c r="A38" s="1"/>
      <c r="B38" s="1"/>
      <c r="C38" s="1"/>
      <c r="D38" s="1" t="s">
        <v>47</v>
      </c>
      <c r="E38" s="19"/>
      <c r="F38" s="19">
        <v>97650.0</v>
      </c>
      <c r="G38" s="29"/>
      <c r="H38" s="20"/>
      <c r="I38" s="27"/>
      <c r="J38" s="27"/>
      <c r="K38" s="26"/>
      <c r="L38" s="26"/>
      <c r="M38" s="26"/>
      <c r="N38" s="26"/>
      <c r="O38" s="26"/>
      <c r="P38" s="26"/>
      <c r="Q38" s="26"/>
      <c r="R38" s="26"/>
      <c r="S38" s="27"/>
      <c r="T38" s="27"/>
      <c r="U38" s="27"/>
    </row>
    <row r="39" ht="15.75" customHeight="1" outlineLevel="1">
      <c r="A39" s="1"/>
      <c r="B39" s="1"/>
      <c r="C39" s="1"/>
      <c r="D39" s="1" t="s">
        <v>48</v>
      </c>
      <c r="E39" s="19"/>
      <c r="F39" s="19"/>
      <c r="G39" s="29"/>
      <c r="H39" s="20"/>
      <c r="I39" s="27"/>
      <c r="J39" s="27"/>
      <c r="K39" s="26"/>
      <c r="L39" s="26"/>
      <c r="M39" s="26"/>
      <c r="N39" s="26"/>
      <c r="O39" s="26"/>
      <c r="P39" s="26"/>
      <c r="Q39" s="26"/>
      <c r="R39" s="26"/>
      <c r="S39" s="27"/>
      <c r="T39" s="27"/>
      <c r="U39" s="27"/>
    </row>
    <row r="40" ht="15.75" customHeight="1" outlineLevel="1">
      <c r="A40" s="1"/>
      <c r="B40" s="1"/>
      <c r="C40" s="1"/>
      <c r="D40" s="1" t="s">
        <v>49</v>
      </c>
      <c r="E40" s="19"/>
      <c r="F40" s="19"/>
      <c r="G40" s="29"/>
      <c r="H40" s="20"/>
      <c r="I40" s="27"/>
      <c r="J40" s="27"/>
      <c r="K40" s="26"/>
      <c r="L40" s="26"/>
      <c r="M40" s="26"/>
      <c r="N40" s="26"/>
      <c r="O40" s="26"/>
      <c r="P40" s="26"/>
      <c r="Q40" s="26"/>
      <c r="R40" s="26"/>
      <c r="S40" s="27"/>
      <c r="T40" s="27"/>
      <c r="U40" s="27"/>
    </row>
    <row r="41" ht="15.75" customHeight="1" outlineLevel="1">
      <c r="A41" s="1"/>
      <c r="B41" s="1"/>
      <c r="C41" s="1"/>
      <c r="D41" s="1" t="s">
        <v>50</v>
      </c>
      <c r="E41" s="19"/>
      <c r="F41" s="19"/>
      <c r="G41" s="29"/>
      <c r="H41" s="20"/>
      <c r="I41" s="27"/>
      <c r="J41" s="27"/>
      <c r="K41" s="27"/>
      <c r="L41" s="27"/>
      <c r="M41" s="27"/>
      <c r="N41" s="27"/>
      <c r="O41" s="26"/>
      <c r="P41" s="26"/>
      <c r="Q41" s="26"/>
      <c r="R41" s="26"/>
      <c r="S41" s="27"/>
      <c r="T41" s="27"/>
      <c r="U41" s="27"/>
    </row>
    <row r="42" ht="15.75" customHeight="1" outlineLevel="1">
      <c r="A42" s="1"/>
      <c r="B42" s="1"/>
      <c r="C42" s="1"/>
      <c r="D42" s="1" t="s">
        <v>51</v>
      </c>
      <c r="E42" s="19"/>
      <c r="F42" s="19">
        <v>5496.16</v>
      </c>
      <c r="G42" s="19"/>
      <c r="H42" s="20"/>
      <c r="I42" s="27"/>
      <c r="J42" s="27"/>
      <c r="K42" s="28">
        <v>5297.49</v>
      </c>
      <c r="L42" s="26"/>
      <c r="M42" s="26"/>
      <c r="N42" s="27"/>
      <c r="O42" s="26"/>
      <c r="P42" s="26"/>
      <c r="Q42" s="27"/>
      <c r="R42" s="26"/>
      <c r="S42" s="27"/>
      <c r="T42" s="27"/>
      <c r="U42" s="27"/>
    </row>
    <row r="43" ht="15.75" customHeight="1" outlineLevel="1">
      <c r="A43" s="1"/>
      <c r="B43" s="1"/>
      <c r="C43" s="1"/>
      <c r="D43" s="1"/>
      <c r="E43" s="19"/>
      <c r="F43" s="19"/>
      <c r="G43" s="19"/>
      <c r="H43" s="20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</row>
    <row r="44" ht="15.75" customHeight="1" outlineLevel="1">
      <c r="A44" s="1"/>
      <c r="B44" s="1"/>
      <c r="C44" s="1"/>
      <c r="D44" s="33" t="s">
        <v>52</v>
      </c>
      <c r="E44" s="19"/>
      <c r="F44" s="19"/>
      <c r="G44" s="19"/>
      <c r="H44" s="20"/>
      <c r="I44" s="26"/>
      <c r="J44" s="26"/>
      <c r="K44" s="26"/>
      <c r="L44" s="27"/>
      <c r="M44" s="27"/>
      <c r="N44" s="27">
        <v>10000.0</v>
      </c>
      <c r="O44" s="27">
        <v>50000.0</v>
      </c>
      <c r="P44" s="27">
        <v>30000.0</v>
      </c>
      <c r="Q44" s="27">
        <v>70000.0</v>
      </c>
      <c r="R44" s="27">
        <v>20000.0</v>
      </c>
      <c r="S44" s="27">
        <v>70000.0</v>
      </c>
      <c r="T44" s="27">
        <v>70000.0</v>
      </c>
      <c r="U44" s="27">
        <v>60000.0</v>
      </c>
    </row>
    <row r="45" ht="15.75" customHeight="1" outlineLevel="1">
      <c r="A45" s="1"/>
      <c r="B45" s="1"/>
      <c r="C45" s="1"/>
      <c r="D45" s="1"/>
      <c r="E45" s="19"/>
      <c r="F45" s="19"/>
      <c r="G45" s="19"/>
      <c r="H45" s="20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</row>
    <row r="46" ht="15.0" customHeight="1">
      <c r="A46" s="1"/>
      <c r="B46" s="1"/>
      <c r="C46" s="22" t="s">
        <v>53</v>
      </c>
      <c r="D46" s="7"/>
      <c r="E46" s="23">
        <v>0.0</v>
      </c>
      <c r="F46" s="23">
        <v>0.0</v>
      </c>
      <c r="G46" s="23">
        <v>0.0</v>
      </c>
      <c r="H46" s="24">
        <f>SUM(H47:H49)</f>
        <v>0</v>
      </c>
      <c r="I46" s="23">
        <f t="shared" ref="I46:U46" si="6">I47+I48</f>
        <v>0</v>
      </c>
      <c r="J46" s="23">
        <f t="shared" si="6"/>
        <v>0</v>
      </c>
      <c r="K46" s="23">
        <f t="shared" si="6"/>
        <v>0</v>
      </c>
      <c r="L46" s="23">
        <f t="shared" si="6"/>
        <v>0</v>
      </c>
      <c r="M46" s="23">
        <f t="shared" si="6"/>
        <v>0</v>
      </c>
      <c r="N46" s="23">
        <f t="shared" si="6"/>
        <v>0</v>
      </c>
      <c r="O46" s="23">
        <f t="shared" si="6"/>
        <v>0</v>
      </c>
      <c r="P46" s="23">
        <f t="shared" si="6"/>
        <v>0</v>
      </c>
      <c r="Q46" s="23">
        <f t="shared" si="6"/>
        <v>0</v>
      </c>
      <c r="R46" s="23">
        <f t="shared" si="6"/>
        <v>0</v>
      </c>
      <c r="S46" s="23">
        <f t="shared" si="6"/>
        <v>0</v>
      </c>
      <c r="T46" s="23">
        <f t="shared" si="6"/>
        <v>0</v>
      </c>
      <c r="U46" s="23">
        <f t="shared" si="6"/>
        <v>0</v>
      </c>
    </row>
    <row r="47" ht="15.75" customHeight="1" outlineLevel="1">
      <c r="A47" s="1"/>
      <c r="B47" s="1"/>
      <c r="C47" s="1"/>
      <c r="D47" s="1" t="s">
        <v>54</v>
      </c>
      <c r="E47" s="19"/>
      <c r="F47" s="19"/>
      <c r="G47" s="19"/>
      <c r="H47" s="20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</row>
    <row r="48" ht="15.75" customHeight="1" outlineLevel="1">
      <c r="A48" s="1"/>
      <c r="B48" s="1"/>
      <c r="C48" s="1"/>
      <c r="D48" s="1" t="s">
        <v>55</v>
      </c>
      <c r="E48" s="19"/>
      <c r="F48" s="19"/>
      <c r="G48" s="19" t="s">
        <v>1</v>
      </c>
      <c r="H48" s="20" t="s">
        <v>1</v>
      </c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</row>
    <row r="49" ht="15.75" customHeight="1">
      <c r="A49" s="1"/>
      <c r="B49" s="1"/>
      <c r="C49" s="1"/>
      <c r="D49" s="1"/>
      <c r="E49" s="19"/>
      <c r="F49" s="19"/>
      <c r="G49" s="19" t="s">
        <v>1</v>
      </c>
      <c r="H49" s="20" t="s">
        <v>1</v>
      </c>
      <c r="I49" s="26" t="s">
        <v>1</v>
      </c>
      <c r="J49" s="26" t="s">
        <v>1</v>
      </c>
      <c r="K49" s="26" t="s">
        <v>1</v>
      </c>
      <c r="L49" s="26" t="s">
        <v>1</v>
      </c>
      <c r="M49" s="26" t="s">
        <v>1</v>
      </c>
      <c r="N49" s="26" t="s">
        <v>1</v>
      </c>
      <c r="O49" s="26" t="s">
        <v>1</v>
      </c>
      <c r="P49" s="26" t="s">
        <v>1</v>
      </c>
      <c r="Q49" s="26" t="s">
        <v>1</v>
      </c>
      <c r="R49" s="26" t="s">
        <v>1</v>
      </c>
      <c r="S49" s="26" t="s">
        <v>1</v>
      </c>
      <c r="T49" s="26" t="s">
        <v>1</v>
      </c>
      <c r="U49" s="26" t="s">
        <v>1</v>
      </c>
    </row>
    <row r="50" ht="15.0" customHeight="1">
      <c r="A50" s="1"/>
      <c r="B50" s="1"/>
      <c r="C50" s="22" t="s">
        <v>56</v>
      </c>
      <c r="D50" s="7"/>
      <c r="E50" s="23">
        <v>165000.0</v>
      </c>
      <c r="F50" s="23">
        <v>265000.0</v>
      </c>
      <c r="G50" s="36">
        <v>225000.0</v>
      </c>
      <c r="H50" s="24">
        <f t="shared" ref="H50:U50" si="7">SUM(H51:H53)</f>
        <v>200000</v>
      </c>
      <c r="I50" s="23">
        <f t="shared" si="7"/>
        <v>185000</v>
      </c>
      <c r="J50" s="23">
        <f t="shared" si="7"/>
        <v>190000</v>
      </c>
      <c r="K50" s="23">
        <f t="shared" si="7"/>
        <v>165000</v>
      </c>
      <c r="L50" s="23">
        <f t="shared" si="7"/>
        <v>200000</v>
      </c>
      <c r="M50" s="23">
        <f t="shared" si="7"/>
        <v>175000</v>
      </c>
      <c r="N50" s="23">
        <f t="shared" si="7"/>
        <v>210000</v>
      </c>
      <c r="O50" s="23">
        <f t="shared" si="7"/>
        <v>190000</v>
      </c>
      <c r="P50" s="23">
        <f t="shared" si="7"/>
        <v>210000</v>
      </c>
      <c r="Q50" s="23">
        <f t="shared" si="7"/>
        <v>190000</v>
      </c>
      <c r="R50" s="23">
        <f t="shared" si="7"/>
        <v>215000</v>
      </c>
      <c r="S50" s="23">
        <f t="shared" si="7"/>
        <v>200000</v>
      </c>
      <c r="T50" s="23">
        <f t="shared" si="7"/>
        <v>225000</v>
      </c>
      <c r="U50" s="23">
        <f t="shared" si="7"/>
        <v>225000</v>
      </c>
    </row>
    <row r="51" ht="15.75" customHeight="1" outlineLevel="1">
      <c r="A51" s="1"/>
      <c r="B51" s="1"/>
      <c r="C51" s="1"/>
      <c r="D51" s="1" t="s">
        <v>57</v>
      </c>
      <c r="E51" s="29">
        <v>190000.0</v>
      </c>
      <c r="F51" s="29">
        <v>145000.0</v>
      </c>
      <c r="G51" s="29">
        <v>155000.0</v>
      </c>
      <c r="H51" s="25">
        <v>200000.0</v>
      </c>
      <c r="I51" s="28">
        <v>185000.0</v>
      </c>
      <c r="J51" s="27">
        <f t="shared" ref="J51:U51" si="8">MROUND((SUM(J60:J73)+SUM(J77:J84)), 5000)</f>
        <v>190000</v>
      </c>
      <c r="K51" s="27">
        <f t="shared" si="8"/>
        <v>165000</v>
      </c>
      <c r="L51" s="27">
        <f t="shared" si="8"/>
        <v>200000</v>
      </c>
      <c r="M51" s="27">
        <f t="shared" si="8"/>
        <v>175000</v>
      </c>
      <c r="N51" s="27">
        <f t="shared" si="8"/>
        <v>210000</v>
      </c>
      <c r="O51" s="27">
        <f t="shared" si="8"/>
        <v>190000</v>
      </c>
      <c r="P51" s="27">
        <f t="shared" si="8"/>
        <v>210000</v>
      </c>
      <c r="Q51" s="27">
        <f t="shared" si="8"/>
        <v>190000</v>
      </c>
      <c r="R51" s="27">
        <f t="shared" si="8"/>
        <v>215000</v>
      </c>
      <c r="S51" s="27">
        <f t="shared" si="8"/>
        <v>200000</v>
      </c>
      <c r="T51" s="27">
        <f t="shared" si="8"/>
        <v>225000</v>
      </c>
      <c r="U51" s="27">
        <f t="shared" si="8"/>
        <v>225000</v>
      </c>
    </row>
    <row r="52" ht="15.75" customHeight="1" outlineLevel="1">
      <c r="A52" s="1"/>
      <c r="B52" s="1"/>
      <c r="C52" s="1"/>
      <c r="D52" s="1" t="s">
        <v>52</v>
      </c>
      <c r="E52" s="19"/>
      <c r="F52" s="19"/>
      <c r="G52" s="19"/>
      <c r="H52" s="20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</row>
    <row r="53" ht="15.75" customHeight="1">
      <c r="A53" s="1"/>
      <c r="B53" s="1"/>
      <c r="C53" s="1"/>
      <c r="D53" s="1"/>
      <c r="E53" s="19"/>
      <c r="F53" s="19"/>
      <c r="G53" s="19"/>
      <c r="H53" s="20" t="s">
        <v>1</v>
      </c>
      <c r="I53" s="26" t="s">
        <v>1</v>
      </c>
      <c r="J53" s="26" t="s">
        <v>1</v>
      </c>
      <c r="K53" s="26" t="s">
        <v>1</v>
      </c>
      <c r="L53" s="26" t="s">
        <v>1</v>
      </c>
      <c r="M53" s="26" t="s">
        <v>1</v>
      </c>
      <c r="N53" s="26" t="s">
        <v>1</v>
      </c>
      <c r="O53" s="26" t="s">
        <v>1</v>
      </c>
      <c r="P53" s="26" t="s">
        <v>1</v>
      </c>
      <c r="Q53" s="26" t="s">
        <v>1</v>
      </c>
      <c r="R53" s="26" t="s">
        <v>1</v>
      </c>
      <c r="S53" s="26" t="s">
        <v>1</v>
      </c>
      <c r="T53" s="26" t="s">
        <v>1</v>
      </c>
      <c r="U53" s="26" t="s">
        <v>1</v>
      </c>
    </row>
    <row r="54" ht="15.0" customHeight="1">
      <c r="A54" s="1"/>
      <c r="B54" s="22" t="s">
        <v>58</v>
      </c>
      <c r="C54" s="7"/>
      <c r="D54" s="7"/>
      <c r="E54" s="23">
        <f t="shared" ref="E54:G54" si="9">E12+E46+E50</f>
        <v>426924.06</v>
      </c>
      <c r="F54" s="23">
        <f t="shared" si="9"/>
        <v>504363.15</v>
      </c>
      <c r="G54" s="23">
        <f t="shared" si="9"/>
        <v>405447.95</v>
      </c>
      <c r="H54" s="24">
        <f>H50+H46+H12</f>
        <v>353110.06</v>
      </c>
      <c r="I54" s="23">
        <f t="shared" ref="I54:U54" si="10">I12+I46+I50</f>
        <v>253798.12</v>
      </c>
      <c r="J54" s="23">
        <f t="shared" si="10"/>
        <v>285470</v>
      </c>
      <c r="K54" s="23">
        <f t="shared" si="10"/>
        <v>306297.49</v>
      </c>
      <c r="L54" s="23">
        <f t="shared" si="10"/>
        <v>299470</v>
      </c>
      <c r="M54" s="23">
        <f t="shared" si="10"/>
        <v>321000</v>
      </c>
      <c r="N54" s="23">
        <f t="shared" si="10"/>
        <v>326730</v>
      </c>
      <c r="O54" s="23">
        <f t="shared" si="10"/>
        <v>415600</v>
      </c>
      <c r="P54" s="23">
        <f t="shared" si="10"/>
        <v>337340</v>
      </c>
      <c r="Q54" s="23">
        <f t="shared" si="10"/>
        <v>380900.3</v>
      </c>
      <c r="R54" s="23">
        <f t="shared" si="10"/>
        <v>384470</v>
      </c>
      <c r="S54" s="23">
        <f t="shared" si="10"/>
        <v>301000</v>
      </c>
      <c r="T54" s="23">
        <f t="shared" si="10"/>
        <v>392740</v>
      </c>
      <c r="U54" s="23">
        <f t="shared" si="10"/>
        <v>367000</v>
      </c>
    </row>
    <row r="55" ht="15.75" customHeight="1">
      <c r="A55" s="1"/>
      <c r="B55" s="1"/>
      <c r="C55" s="1"/>
      <c r="D55" s="1"/>
      <c r="E55" s="19"/>
      <c r="F55" s="19"/>
      <c r="G55" s="19"/>
      <c r="H55" s="20" t="s">
        <v>1</v>
      </c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</row>
    <row r="56" ht="15.0" customHeight="1">
      <c r="A56" s="1"/>
      <c r="B56" s="21" t="s">
        <v>59</v>
      </c>
      <c r="E56" s="19"/>
      <c r="F56" s="19"/>
      <c r="G56" s="19"/>
      <c r="H56" s="20" t="s">
        <v>1</v>
      </c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</row>
    <row r="57" ht="15.0" customHeight="1">
      <c r="A57" s="1"/>
      <c r="B57" s="1"/>
      <c r="C57" s="22" t="s">
        <v>60</v>
      </c>
      <c r="D57" s="7"/>
      <c r="E57" s="23">
        <f t="shared" ref="E57:U57" si="11">-SUM(E58:E75)</f>
        <v>-396989.1805</v>
      </c>
      <c r="F57" s="23">
        <f t="shared" si="11"/>
        <v>-408017.0158</v>
      </c>
      <c r="G57" s="36">
        <f t="shared" si="11"/>
        <v>-338536.5423</v>
      </c>
      <c r="H57" s="24">
        <f t="shared" si="11"/>
        <v>-376172.7197</v>
      </c>
      <c r="I57" s="23">
        <f t="shared" si="11"/>
        <v>-229476.4127</v>
      </c>
      <c r="J57" s="23">
        <f t="shared" si="11"/>
        <v>-277715.4315</v>
      </c>
      <c r="K57" s="23">
        <f t="shared" si="11"/>
        <v>-307454.8098</v>
      </c>
      <c r="L57" s="23">
        <f t="shared" si="11"/>
        <v>-300979.9401</v>
      </c>
      <c r="M57" s="23">
        <f t="shared" si="11"/>
        <v>-318642.1549</v>
      </c>
      <c r="N57" s="23">
        <f t="shared" si="11"/>
        <v>-321659.389</v>
      </c>
      <c r="O57" s="23">
        <f t="shared" si="11"/>
        <v>-414215.042</v>
      </c>
      <c r="P57" s="23">
        <f t="shared" si="11"/>
        <v>-334448.7032</v>
      </c>
      <c r="Q57" s="23">
        <f t="shared" si="11"/>
        <v>-381151.572</v>
      </c>
      <c r="R57" s="23">
        <f t="shared" si="11"/>
        <v>-376972.7994</v>
      </c>
      <c r="S57" s="23">
        <f t="shared" si="11"/>
        <v>-300840.1199</v>
      </c>
      <c r="T57" s="23">
        <f t="shared" si="11"/>
        <v>-395603.8101</v>
      </c>
      <c r="U57" s="23">
        <f t="shared" si="11"/>
        <v>-366500.7271</v>
      </c>
    </row>
    <row r="58" ht="15.75" customHeight="1" outlineLevel="1">
      <c r="A58" s="1"/>
      <c r="B58" s="1"/>
      <c r="C58" s="1"/>
      <c r="D58" s="1" t="s">
        <v>61</v>
      </c>
      <c r="E58" s="37">
        <f t="shared" ref="E58:H58" si="12">E47+E12-E59</f>
        <v>259185.763</v>
      </c>
      <c r="F58" s="37">
        <f t="shared" si="12"/>
        <v>236860.7171</v>
      </c>
      <c r="G58" s="37">
        <f t="shared" si="12"/>
        <v>178561.4487</v>
      </c>
      <c r="H58" s="38">
        <f t="shared" si="12"/>
        <v>151509.3639</v>
      </c>
      <c r="I58" s="39">
        <f t="shared" ref="I58:U58" si="13">(I12+I47)-I59</f>
        <v>68078.86693</v>
      </c>
      <c r="J58" s="26">
        <f t="shared" si="13"/>
        <v>94471.90455</v>
      </c>
      <c r="K58" s="26">
        <f t="shared" si="13"/>
        <v>139820.289</v>
      </c>
      <c r="L58" s="26">
        <f t="shared" si="13"/>
        <v>98430.08636</v>
      </c>
      <c r="M58" s="26">
        <f t="shared" si="13"/>
        <v>144473.6364</v>
      </c>
      <c r="N58" s="26">
        <f t="shared" si="13"/>
        <v>115509.6409</v>
      </c>
      <c r="O58" s="26">
        <f t="shared" si="13"/>
        <v>223241.4545</v>
      </c>
      <c r="P58" s="26">
        <f t="shared" si="13"/>
        <v>126008.7182</v>
      </c>
      <c r="Q58" s="26">
        <f t="shared" si="13"/>
        <v>188904.5241</v>
      </c>
      <c r="R58" s="26">
        <f t="shared" si="13"/>
        <v>167698.2682</v>
      </c>
      <c r="S58" s="26">
        <f t="shared" si="13"/>
        <v>99944.09091</v>
      </c>
      <c r="T58" s="26">
        <f t="shared" si="13"/>
        <v>165986.3545</v>
      </c>
      <c r="U58" s="26">
        <f t="shared" si="13"/>
        <v>140515.4545</v>
      </c>
    </row>
    <row r="59" ht="15.75" customHeight="1" outlineLevel="1">
      <c r="A59" s="1"/>
      <c r="B59" s="1"/>
      <c r="C59" s="1"/>
      <c r="D59" s="1" t="s">
        <v>62</v>
      </c>
      <c r="E59" s="37">
        <f t="shared" ref="E59:U59" si="14">(E12+E47)*0.115/11</f>
        <v>2738.296991</v>
      </c>
      <c r="F59" s="37">
        <f t="shared" si="14"/>
        <v>2502.432932</v>
      </c>
      <c r="G59" s="37">
        <f t="shared" si="14"/>
        <v>1886.501295</v>
      </c>
      <c r="H59" s="38">
        <f t="shared" si="14"/>
        <v>1600.696082</v>
      </c>
      <c r="I59" s="39">
        <f t="shared" si="14"/>
        <v>719.2530727</v>
      </c>
      <c r="J59" s="26">
        <f t="shared" si="14"/>
        <v>998.0954545</v>
      </c>
      <c r="K59" s="26">
        <f t="shared" si="14"/>
        <v>1477.201032</v>
      </c>
      <c r="L59" s="26">
        <f t="shared" si="14"/>
        <v>1039.913636</v>
      </c>
      <c r="M59" s="26">
        <f t="shared" si="14"/>
        <v>1526.363636</v>
      </c>
      <c r="N59" s="26">
        <f t="shared" si="14"/>
        <v>1220.359091</v>
      </c>
      <c r="O59" s="26">
        <f t="shared" si="14"/>
        <v>2358.545455</v>
      </c>
      <c r="P59" s="26">
        <f t="shared" si="14"/>
        <v>1331.281818</v>
      </c>
      <c r="Q59" s="26">
        <f t="shared" si="14"/>
        <v>1995.775864</v>
      </c>
      <c r="R59" s="26">
        <f t="shared" si="14"/>
        <v>1771.731818</v>
      </c>
      <c r="S59" s="26">
        <f t="shared" si="14"/>
        <v>1055.909091</v>
      </c>
      <c r="T59" s="26">
        <f t="shared" si="14"/>
        <v>1753.645455</v>
      </c>
      <c r="U59" s="26">
        <f t="shared" si="14"/>
        <v>1484.545455</v>
      </c>
    </row>
    <row r="60" ht="15.75" customHeight="1" outlineLevel="1">
      <c r="A60" s="1"/>
      <c r="B60" s="1"/>
      <c r="C60" s="1"/>
      <c r="D60" s="1" t="s">
        <v>63</v>
      </c>
      <c r="E60" s="40">
        <v>29807.31</v>
      </c>
      <c r="F60" s="40">
        <v>37927.0</v>
      </c>
      <c r="G60" s="40">
        <v>29194.12</v>
      </c>
      <c r="H60" s="32">
        <v>45599.5</v>
      </c>
      <c r="I60" s="28">
        <v>21282.45</v>
      </c>
      <c r="J60" s="27">
        <f>SUM(F60:I60)/4</f>
        <v>33500.7675</v>
      </c>
      <c r="K60" s="27">
        <f t="shared" ref="K60:U60" si="15">(SUM(G60:J60)/4)*1.05</f>
        <v>34013.91984</v>
      </c>
      <c r="L60" s="27">
        <f t="shared" si="15"/>
        <v>35279.1173</v>
      </c>
      <c r="M60" s="27">
        <f t="shared" si="15"/>
        <v>32570.01684</v>
      </c>
      <c r="N60" s="27">
        <f t="shared" si="15"/>
        <v>35533.00314</v>
      </c>
      <c r="O60" s="27">
        <f t="shared" si="15"/>
        <v>36066.465</v>
      </c>
      <c r="P60" s="27">
        <f t="shared" si="15"/>
        <v>36605.2581</v>
      </c>
      <c r="Q60" s="27">
        <f t="shared" si="15"/>
        <v>36953.37006</v>
      </c>
      <c r="R60" s="27">
        <f t="shared" si="15"/>
        <v>38104.00028</v>
      </c>
      <c r="S60" s="27">
        <f t="shared" si="15"/>
        <v>38778.88703</v>
      </c>
      <c r="T60" s="27">
        <f t="shared" si="15"/>
        <v>39490.89781</v>
      </c>
      <c r="U60" s="27">
        <f t="shared" si="15"/>
        <v>40248.37823</v>
      </c>
    </row>
    <row r="61" ht="15.75" customHeight="1" outlineLevel="1">
      <c r="A61" s="1"/>
      <c r="B61" s="1"/>
      <c r="C61" s="1"/>
      <c r="D61" s="33" t="s">
        <v>64</v>
      </c>
      <c r="E61" s="19">
        <f t="shared" ref="E61:U61" si="16">(E60+E63)*0.014</f>
        <v>1436.37046</v>
      </c>
      <c r="F61" s="19">
        <f t="shared" si="16"/>
        <v>1569.64584</v>
      </c>
      <c r="G61" s="19">
        <f t="shared" si="16"/>
        <v>1388.4423</v>
      </c>
      <c r="H61" s="25">
        <f t="shared" si="16"/>
        <v>1990.2197</v>
      </c>
      <c r="I61" s="27">
        <f t="shared" si="16"/>
        <v>1414.48272</v>
      </c>
      <c r="J61" s="27">
        <f t="shared" si="16"/>
        <v>1628.423032</v>
      </c>
      <c r="K61" s="27">
        <f t="shared" si="16"/>
        <v>1635.904723</v>
      </c>
      <c r="L61" s="27">
        <f t="shared" si="16"/>
        <v>1666.632664</v>
      </c>
      <c r="M61" s="27">
        <f t="shared" si="16"/>
        <v>1622.261145</v>
      </c>
      <c r="N61" s="27">
        <f t="shared" si="16"/>
        <v>1649.890419</v>
      </c>
      <c r="O61" s="27">
        <f t="shared" si="16"/>
        <v>1684.507259</v>
      </c>
      <c r="P61" s="27">
        <f t="shared" si="16"/>
        <v>1671.483039</v>
      </c>
      <c r="Q61" s="27">
        <f t="shared" si="16"/>
        <v>1811.021006</v>
      </c>
      <c r="R61" s="27">
        <f t="shared" si="16"/>
        <v>1907.365946</v>
      </c>
      <c r="S61" s="27">
        <f t="shared" si="16"/>
        <v>1977.555671</v>
      </c>
      <c r="T61" s="27">
        <f t="shared" si="16"/>
        <v>2040.882936</v>
      </c>
      <c r="U61" s="27">
        <f t="shared" si="16"/>
        <v>2145.826107</v>
      </c>
    </row>
    <row r="62" ht="15.75" customHeight="1" outlineLevel="1">
      <c r="A62" s="1"/>
      <c r="B62" s="1"/>
      <c r="C62" s="1"/>
      <c r="D62" s="1" t="s">
        <v>65</v>
      </c>
      <c r="E62" s="40">
        <v>23854.91</v>
      </c>
      <c r="F62" s="41">
        <v>23854.91</v>
      </c>
      <c r="G62" s="40">
        <v>36870.53</v>
      </c>
      <c r="H62" s="32">
        <v>76329.46</v>
      </c>
      <c r="I62" s="42">
        <v>33578.06</v>
      </c>
      <c r="J62" s="26">
        <f>'Internal Payroll'!Y22</f>
        <v>43671.07769</v>
      </c>
      <c r="K62" s="26">
        <f>'Internal Payroll'!Z22</f>
        <v>37671.07769</v>
      </c>
      <c r="L62" s="26">
        <f>'Internal Payroll'!AA22</f>
        <v>47671.07769</v>
      </c>
      <c r="M62" s="26">
        <f>'Internal Payroll'!AB22</f>
        <v>37671.07769</v>
      </c>
      <c r="N62" s="26">
        <f>'Internal Payroll'!AC22</f>
        <v>63671.07769</v>
      </c>
      <c r="O62" s="26">
        <f>'Internal Payroll'!AD22</f>
        <v>41608.58769</v>
      </c>
      <c r="P62" s="26">
        <f>'Internal Payroll'!AE22</f>
        <v>57609.58769</v>
      </c>
      <c r="Q62" s="26">
        <f>'Internal Payroll'!AF22</f>
        <v>41608.58769</v>
      </c>
      <c r="R62" s="26">
        <f>'Internal Payroll'!AG22</f>
        <v>47609.58769</v>
      </c>
      <c r="S62" s="26">
        <f>'Internal Payroll'!AH22</f>
        <v>41608.58769</v>
      </c>
      <c r="T62" s="26">
        <f>'Internal Payroll'!AI22</f>
        <v>51609.58769</v>
      </c>
      <c r="U62" s="26">
        <f>'Internal Payroll'!AJ22</f>
        <v>41608.58769</v>
      </c>
    </row>
    <row r="63" ht="15.75" customHeight="1" outlineLevel="1">
      <c r="A63" s="1"/>
      <c r="B63" s="1"/>
      <c r="C63" s="1"/>
      <c r="D63" s="1" t="s">
        <v>66</v>
      </c>
      <c r="E63" s="40">
        <v>72790.58</v>
      </c>
      <c r="F63" s="40">
        <v>74190.56</v>
      </c>
      <c r="G63" s="40">
        <v>69980.33</v>
      </c>
      <c r="H63" s="32">
        <v>96559.05</v>
      </c>
      <c r="I63" s="28">
        <v>79752.03</v>
      </c>
      <c r="J63" s="27">
        <f>'Future Sales'!M28*0.8</f>
        <v>82815.16332</v>
      </c>
      <c r="K63" s="27">
        <f>'Future Sales'!N28*0.8</f>
        <v>82836.41754</v>
      </c>
      <c r="L63" s="27">
        <f>'Future Sales'!O28*0.8</f>
        <v>83766.07296</v>
      </c>
      <c r="M63" s="27">
        <f>'Future Sales'!P28*0.8</f>
        <v>83305.77924</v>
      </c>
      <c r="N63" s="27">
        <f>'Future Sales'!Q28*0.8</f>
        <v>82316.31252</v>
      </c>
      <c r="O63" s="27">
        <f>'Future Sales'!R28*0.8</f>
        <v>84255.48205</v>
      </c>
      <c r="P63" s="27">
        <f>'Future Sales'!S28*0.8</f>
        <v>82786.38755</v>
      </c>
      <c r="Q63" s="27">
        <f>'Future Sales'!T28*0.8</f>
        <v>92405.2732</v>
      </c>
      <c r="R63" s="27">
        <f>'Future Sales'!U28*0.8</f>
        <v>98136.42444</v>
      </c>
      <c r="S63" s="27">
        <f>'Future Sales'!V28*0.8</f>
        <v>102475.0895</v>
      </c>
      <c r="T63" s="27">
        <f>'Future Sales'!W28*0.8</f>
        <v>106286.4548</v>
      </c>
      <c r="U63" s="27">
        <f>'Future Sales'!X28*0.8</f>
        <v>113024.9151</v>
      </c>
    </row>
    <row r="64" ht="15.75" customHeight="1" outlineLevel="1">
      <c r="A64" s="1"/>
      <c r="B64" s="1"/>
      <c r="C64" s="1"/>
      <c r="D64" s="1" t="s">
        <v>67</v>
      </c>
      <c r="E64" s="40">
        <v>5000.0</v>
      </c>
      <c r="F64" s="40">
        <v>30000.0</v>
      </c>
      <c r="G64" s="40">
        <v>20000.0</v>
      </c>
      <c r="H64" s="25"/>
      <c r="I64" s="27">
        <v>15000.0</v>
      </c>
      <c r="J64" s="28">
        <v>20000.0</v>
      </c>
      <c r="K64" s="28">
        <v>10000.0</v>
      </c>
      <c r="L64" s="28">
        <v>25000.0</v>
      </c>
      <c r="M64" s="27">
        <v>15000.0</v>
      </c>
      <c r="N64" s="28">
        <v>20000.0</v>
      </c>
      <c r="O64" s="28">
        <v>25000.0</v>
      </c>
      <c r="P64" s="28">
        <v>20000.0</v>
      </c>
      <c r="Q64" s="27">
        <v>15000.0</v>
      </c>
      <c r="R64" s="28">
        <v>20000.0</v>
      </c>
      <c r="S64" s="28">
        <v>15000.0</v>
      </c>
      <c r="T64" s="28">
        <v>20000.0</v>
      </c>
      <c r="U64" s="28">
        <v>25000.0</v>
      </c>
    </row>
    <row r="65" ht="15.75" customHeight="1" outlineLevel="1">
      <c r="A65" s="1"/>
      <c r="B65" s="1"/>
      <c r="C65" s="1"/>
      <c r="D65" s="33" t="s">
        <v>68</v>
      </c>
      <c r="E65" s="29"/>
      <c r="F65" s="19"/>
      <c r="G65" s="29"/>
      <c r="H65" s="20"/>
      <c r="I65" s="42">
        <v>2473.02</v>
      </c>
      <c r="J65" s="27"/>
      <c r="K65" s="26"/>
      <c r="L65" s="27"/>
      <c r="M65" s="42">
        <v>2473.02</v>
      </c>
      <c r="N65" s="27"/>
      <c r="O65" s="27"/>
      <c r="P65" s="26"/>
      <c r="Q65" s="28">
        <v>2473.02</v>
      </c>
      <c r="R65" s="27"/>
      <c r="S65" s="27"/>
      <c r="T65" s="26"/>
      <c r="U65" s="42">
        <v>2473.02</v>
      </c>
    </row>
    <row r="66" ht="15.75" customHeight="1" outlineLevel="1">
      <c r="A66" s="1"/>
      <c r="B66" s="1"/>
      <c r="C66" s="1"/>
      <c r="D66" s="33" t="s">
        <v>69</v>
      </c>
      <c r="E66" s="19"/>
      <c r="F66" s="29"/>
      <c r="G66" s="19"/>
      <c r="H66" s="25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7"/>
      <c r="U66" s="27"/>
    </row>
    <row r="67" ht="15.75" customHeight="1" outlineLevel="1">
      <c r="A67" s="1"/>
      <c r="B67" s="1"/>
      <c r="C67" s="1"/>
      <c r="D67" s="33" t="s">
        <v>70</v>
      </c>
      <c r="E67" s="19"/>
      <c r="F67" s="29"/>
      <c r="G67" s="19"/>
      <c r="H67" s="25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7"/>
      <c r="U67" s="27"/>
    </row>
    <row r="68" ht="15.75" customHeight="1" outlineLevel="1">
      <c r="A68" s="1"/>
      <c r="B68" s="1"/>
      <c r="C68" s="1"/>
      <c r="D68" s="33" t="s">
        <v>71</v>
      </c>
      <c r="E68" s="19"/>
      <c r="F68" s="19"/>
      <c r="G68" s="19"/>
      <c r="H68" s="25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7"/>
      <c r="U68" s="27"/>
    </row>
    <row r="69" ht="15.75" customHeight="1" outlineLevel="1">
      <c r="A69" s="1"/>
      <c r="B69" s="1"/>
      <c r="C69" s="1"/>
      <c r="D69" s="1" t="s">
        <v>72</v>
      </c>
      <c r="E69" s="29"/>
      <c r="F69" s="19"/>
      <c r="G69" s="19"/>
      <c r="H69" s="25"/>
      <c r="I69" s="26">
        <v>6431.25</v>
      </c>
      <c r="J69" s="27"/>
      <c r="K69" s="26"/>
      <c r="L69" s="27">
        <v>6431.25</v>
      </c>
      <c r="M69" s="27"/>
      <c r="N69" s="27"/>
      <c r="O69" s="26"/>
      <c r="P69" s="26">
        <v>6431.25</v>
      </c>
      <c r="Q69" s="27"/>
      <c r="R69" s="26"/>
      <c r="S69" s="27"/>
      <c r="T69" s="26">
        <v>6431.25</v>
      </c>
      <c r="U69" s="26"/>
    </row>
    <row r="70" ht="15.75" customHeight="1" outlineLevel="1">
      <c r="A70" s="1"/>
      <c r="B70" s="1"/>
      <c r="C70" s="1"/>
      <c r="D70" s="1" t="s">
        <v>73</v>
      </c>
      <c r="E70" s="29"/>
      <c r="F70" s="19"/>
      <c r="G70" s="29"/>
      <c r="H70" s="25"/>
      <c r="I70" s="27">
        <v>747.0</v>
      </c>
      <c r="J70" s="26"/>
      <c r="K70" s="26"/>
      <c r="L70" s="27">
        <v>750.0</v>
      </c>
      <c r="M70" s="27"/>
      <c r="N70" s="27">
        <v>747.0</v>
      </c>
      <c r="O70" s="26"/>
      <c r="P70" s="27">
        <v>750.0</v>
      </c>
      <c r="Q70" s="27"/>
      <c r="R70" s="27">
        <v>747.0</v>
      </c>
      <c r="S70" s="27"/>
      <c r="T70" s="27">
        <v>750.0</v>
      </c>
      <c r="U70" s="26"/>
    </row>
    <row r="71" ht="15.75" customHeight="1" outlineLevel="1">
      <c r="A71" s="1"/>
      <c r="B71" s="1"/>
      <c r="C71" s="1"/>
      <c r="D71" s="1" t="s">
        <v>74</v>
      </c>
      <c r="E71" s="41">
        <v>2175.95</v>
      </c>
      <c r="F71" s="40">
        <v>574.76</v>
      </c>
      <c r="G71" s="41">
        <v>1.99</v>
      </c>
      <c r="H71" s="31">
        <v>772.56</v>
      </c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7"/>
    </row>
    <row r="72" ht="15.75" customHeight="1" outlineLevel="1">
      <c r="A72" s="1"/>
      <c r="B72" s="1"/>
      <c r="C72" s="1"/>
      <c r="D72" s="33" t="s">
        <v>75</v>
      </c>
      <c r="E72" s="19"/>
      <c r="F72" s="19"/>
      <c r="G72" s="19"/>
      <c r="H72" s="20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</row>
    <row r="73" ht="15.75" customHeight="1" outlineLevel="1">
      <c r="A73" s="1"/>
      <c r="B73" s="1"/>
      <c r="C73" s="1"/>
      <c r="D73" s="43" t="s">
        <v>76</v>
      </c>
      <c r="E73" s="19"/>
      <c r="F73" s="41">
        <v>536.99</v>
      </c>
      <c r="G73" s="41">
        <v>23.18</v>
      </c>
      <c r="H73" s="31">
        <v>1339.37</v>
      </c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</row>
    <row r="74" ht="15.75" customHeight="1">
      <c r="A74" s="1"/>
      <c r="B74" s="1"/>
      <c r="C74" s="1"/>
      <c r="D74" s="43" t="s">
        <v>77</v>
      </c>
      <c r="E74" s="19">
        <f t="shared" ref="E74:U74" si="17">(E31/0.95)-E31</f>
        <v>0</v>
      </c>
      <c r="F74" s="19">
        <f t="shared" si="17"/>
        <v>0</v>
      </c>
      <c r="G74" s="19">
        <f t="shared" si="17"/>
        <v>630</v>
      </c>
      <c r="H74" s="20">
        <f t="shared" si="17"/>
        <v>472.5</v>
      </c>
      <c r="I74" s="26">
        <f t="shared" si="17"/>
        <v>0</v>
      </c>
      <c r="J74" s="26">
        <f t="shared" si="17"/>
        <v>630</v>
      </c>
      <c r="K74" s="26">
        <f t="shared" si="17"/>
        <v>0</v>
      </c>
      <c r="L74" s="26">
        <f t="shared" si="17"/>
        <v>945.7894737</v>
      </c>
      <c r="M74" s="26">
        <f t="shared" si="17"/>
        <v>0</v>
      </c>
      <c r="N74" s="26">
        <f t="shared" si="17"/>
        <v>1012.105263</v>
      </c>
      <c r="O74" s="26">
        <f t="shared" si="17"/>
        <v>0</v>
      </c>
      <c r="P74" s="26">
        <f t="shared" si="17"/>
        <v>1254.736842</v>
      </c>
      <c r="Q74" s="26">
        <f t="shared" si="17"/>
        <v>0</v>
      </c>
      <c r="R74" s="26">
        <f t="shared" si="17"/>
        <v>998.4210526</v>
      </c>
      <c r="S74" s="26">
        <f t="shared" si="17"/>
        <v>0</v>
      </c>
      <c r="T74" s="26">
        <f t="shared" si="17"/>
        <v>1254.736842</v>
      </c>
      <c r="U74" s="26">
        <f t="shared" si="17"/>
        <v>0</v>
      </c>
    </row>
    <row r="75" ht="15.75" customHeight="1">
      <c r="A75" s="1"/>
      <c r="B75" s="1"/>
      <c r="C75" s="1"/>
      <c r="D75" s="1"/>
      <c r="E75" s="19"/>
      <c r="F75" s="19"/>
      <c r="G75" s="19"/>
      <c r="H75" s="20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</row>
    <row r="76" ht="15.0" customHeight="1">
      <c r="A76" s="1"/>
      <c r="B76" s="1"/>
      <c r="C76" s="22" t="s">
        <v>78</v>
      </c>
      <c r="D76" s="7"/>
      <c r="E76" s="23">
        <f t="shared" ref="E76:U76" si="18">-SUM(E77:E85)</f>
        <v>-830.22</v>
      </c>
      <c r="F76" s="23">
        <f t="shared" si="18"/>
        <v>-13293.11</v>
      </c>
      <c r="G76" s="23">
        <f t="shared" si="18"/>
        <v>-2947.56</v>
      </c>
      <c r="H76" s="24">
        <f t="shared" si="18"/>
        <v>-2043.09</v>
      </c>
      <c r="I76" s="23">
        <f t="shared" si="18"/>
        <v>-423.44</v>
      </c>
      <c r="J76" s="23">
        <f t="shared" si="18"/>
        <v>-6280</v>
      </c>
      <c r="K76" s="23">
        <f t="shared" si="18"/>
        <v>-205</v>
      </c>
      <c r="L76" s="23">
        <f t="shared" si="18"/>
        <v>-1931.307</v>
      </c>
      <c r="M76" s="23">
        <f t="shared" si="18"/>
        <v>-250</v>
      </c>
      <c r="N76" s="23">
        <f t="shared" si="18"/>
        <v>-6300</v>
      </c>
      <c r="O76" s="23">
        <f t="shared" si="18"/>
        <v>-280</v>
      </c>
      <c r="P76" s="23">
        <f t="shared" si="18"/>
        <v>-2277.87235</v>
      </c>
      <c r="Q76" s="23">
        <f t="shared" si="18"/>
        <v>-325</v>
      </c>
      <c r="R76" s="23">
        <f t="shared" si="18"/>
        <v>-6000</v>
      </c>
      <c r="S76" s="23">
        <f t="shared" si="18"/>
        <v>-580</v>
      </c>
      <c r="T76" s="23">
        <f t="shared" si="18"/>
        <v>-375</v>
      </c>
      <c r="U76" s="23">
        <f t="shared" si="18"/>
        <v>-2129.265968</v>
      </c>
    </row>
    <row r="77" ht="15.75" customHeight="1" outlineLevel="1">
      <c r="A77" s="1"/>
      <c r="B77" s="1"/>
      <c r="C77" s="1"/>
      <c r="D77" s="1" t="s">
        <v>79</v>
      </c>
      <c r="E77" s="19"/>
      <c r="F77" s="19"/>
      <c r="G77" s="41">
        <v>2667.56</v>
      </c>
      <c r="H77" s="20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</row>
    <row r="78" ht="15.75" customHeight="1" outlineLevel="1">
      <c r="A78" s="1"/>
      <c r="B78" s="1"/>
      <c r="C78" s="1"/>
      <c r="D78" s="1" t="s">
        <v>80</v>
      </c>
      <c r="E78" s="19"/>
      <c r="F78" s="29"/>
      <c r="G78" s="29"/>
      <c r="H78" s="32">
        <v>1839.34</v>
      </c>
      <c r="I78" s="26"/>
      <c r="J78" s="26"/>
      <c r="K78" s="26"/>
      <c r="L78" s="26">
        <f>H78*1.05</f>
        <v>1931.307</v>
      </c>
      <c r="M78" s="26"/>
      <c r="N78" s="26"/>
      <c r="O78" s="26"/>
      <c r="P78" s="26">
        <f>L78*1.05</f>
        <v>2027.87235</v>
      </c>
      <c r="Q78" s="26"/>
      <c r="R78" s="26"/>
      <c r="S78" s="26"/>
      <c r="T78" s="26"/>
      <c r="U78" s="26">
        <f>P78*1.05</f>
        <v>2129.265968</v>
      </c>
    </row>
    <row r="79" ht="15.75" customHeight="1" outlineLevel="1">
      <c r="A79" s="1"/>
      <c r="B79" s="1"/>
      <c r="C79" s="1"/>
      <c r="D79" s="33" t="s">
        <v>81</v>
      </c>
      <c r="E79" s="29"/>
      <c r="F79" s="19"/>
      <c r="G79" s="29"/>
      <c r="H79" s="25"/>
      <c r="I79" s="26"/>
      <c r="J79" s="27"/>
      <c r="K79" s="26"/>
      <c r="L79" s="26"/>
      <c r="M79" s="27"/>
      <c r="N79" s="26"/>
      <c r="O79" s="26"/>
      <c r="P79" s="27"/>
      <c r="Q79" s="26"/>
      <c r="R79" s="26"/>
      <c r="S79" s="27"/>
      <c r="T79" s="27"/>
      <c r="U79" s="27"/>
    </row>
    <row r="80" ht="15.75" customHeight="1" outlineLevel="1">
      <c r="A80" s="1"/>
      <c r="B80" s="1"/>
      <c r="C80" s="1"/>
      <c r="D80" s="33" t="s">
        <v>82</v>
      </c>
      <c r="E80" s="29"/>
      <c r="F80" s="40">
        <v>12000.0</v>
      </c>
      <c r="G80" s="29"/>
      <c r="H80" s="25"/>
      <c r="I80" s="26"/>
      <c r="J80" s="27">
        <v>6000.0</v>
      </c>
      <c r="K80" s="26"/>
      <c r="L80" s="26"/>
      <c r="M80" s="27"/>
      <c r="N80" s="27">
        <v>6000.0</v>
      </c>
      <c r="O80" s="26"/>
      <c r="P80" s="27"/>
      <c r="Q80" s="26"/>
      <c r="R80" s="27">
        <v>6000.0</v>
      </c>
      <c r="S80" s="27"/>
      <c r="T80" s="27"/>
      <c r="U80" s="27"/>
    </row>
    <row r="81" ht="15.75" customHeight="1" outlineLevel="1">
      <c r="A81" s="1"/>
      <c r="B81" s="1"/>
      <c r="C81" s="1"/>
      <c r="D81" s="1" t="s">
        <v>83</v>
      </c>
      <c r="E81" s="29"/>
      <c r="F81" s="41">
        <v>269.34</v>
      </c>
      <c r="G81" s="19"/>
      <c r="H81" s="32">
        <v>203.75</v>
      </c>
      <c r="I81" s="42">
        <v>423.44</v>
      </c>
      <c r="J81" s="27"/>
      <c r="K81" s="26">
        <v>205.0</v>
      </c>
      <c r="L81" s="26"/>
      <c r="M81" s="28">
        <v>250.0</v>
      </c>
      <c r="N81" s="28">
        <v>300.0</v>
      </c>
      <c r="O81" s="26"/>
      <c r="P81" s="28">
        <v>250.0</v>
      </c>
      <c r="Q81" s="28">
        <v>325.0</v>
      </c>
      <c r="R81" s="26"/>
      <c r="S81" s="28">
        <v>300.0</v>
      </c>
      <c r="T81" s="28">
        <v>375.0</v>
      </c>
      <c r="U81" s="27"/>
    </row>
    <row r="82" ht="15.75" customHeight="1" outlineLevel="1">
      <c r="A82" s="1"/>
      <c r="B82" s="1"/>
      <c r="C82" s="1"/>
      <c r="D82" s="43" t="s">
        <v>84</v>
      </c>
      <c r="E82" s="40">
        <v>830.22</v>
      </c>
      <c r="F82" s="41">
        <v>1023.77</v>
      </c>
      <c r="G82" s="19"/>
      <c r="H82" s="25"/>
      <c r="I82" s="26"/>
      <c r="J82" s="27"/>
      <c r="K82" s="27"/>
      <c r="L82" s="26"/>
      <c r="M82" s="27"/>
      <c r="N82" s="26"/>
      <c r="O82" s="27"/>
      <c r="P82" s="27"/>
      <c r="Q82" s="26"/>
      <c r="R82" s="26"/>
      <c r="S82" s="27"/>
      <c r="T82" s="27"/>
      <c r="U82" s="27"/>
    </row>
    <row r="83" ht="15.75" customHeight="1" outlineLevel="1">
      <c r="A83" s="1"/>
      <c r="B83" s="1"/>
      <c r="C83" s="1"/>
      <c r="D83" s="33" t="s">
        <v>85</v>
      </c>
      <c r="E83" s="29"/>
      <c r="F83" s="19"/>
      <c r="G83" s="40">
        <v>280.0</v>
      </c>
      <c r="H83" s="25"/>
      <c r="I83" s="26"/>
      <c r="J83" s="28">
        <v>280.0</v>
      </c>
      <c r="K83" s="28"/>
      <c r="L83" s="26"/>
      <c r="M83" s="27"/>
      <c r="N83" s="26"/>
      <c r="O83" s="28">
        <v>280.0</v>
      </c>
      <c r="P83" s="27"/>
      <c r="Q83" s="26"/>
      <c r="R83" s="26"/>
      <c r="S83" s="28">
        <v>280.0</v>
      </c>
      <c r="T83" s="27"/>
      <c r="U83" s="27"/>
    </row>
    <row r="84" ht="15.75" customHeight="1">
      <c r="A84" s="1"/>
      <c r="B84" s="1"/>
      <c r="C84" s="1"/>
      <c r="D84" s="1" t="s">
        <v>86</v>
      </c>
      <c r="E84" s="19"/>
      <c r="F84" s="19"/>
      <c r="G84" s="19"/>
      <c r="H84" s="20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</row>
    <row r="85" ht="15.75" customHeight="1">
      <c r="A85" s="1"/>
      <c r="B85" s="1"/>
      <c r="C85" s="1"/>
      <c r="D85" s="1"/>
      <c r="E85" s="19"/>
      <c r="F85" s="19"/>
      <c r="G85" s="19"/>
      <c r="H85" s="20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</row>
    <row r="86" ht="15.0" customHeight="1">
      <c r="A86" s="1"/>
      <c r="B86" s="22" t="s">
        <v>87</v>
      </c>
      <c r="C86" s="7"/>
      <c r="D86" s="7"/>
      <c r="E86" s="23">
        <f t="shared" ref="E86:G86" si="19">E76+E57</f>
        <v>-397819.4005</v>
      </c>
      <c r="F86" s="23">
        <f t="shared" si="19"/>
        <v>-421310.1258</v>
      </c>
      <c r="G86" s="23">
        <f t="shared" si="19"/>
        <v>-341484.1023</v>
      </c>
      <c r="H86" s="24">
        <f>H57+H76</f>
        <v>-378215.8097</v>
      </c>
      <c r="I86" s="23">
        <f t="shared" ref="I86:U86" si="20">I76+I57</f>
        <v>-229899.8527</v>
      </c>
      <c r="J86" s="23">
        <f t="shared" si="20"/>
        <v>-283995.4315</v>
      </c>
      <c r="K86" s="23">
        <f t="shared" si="20"/>
        <v>-307659.8098</v>
      </c>
      <c r="L86" s="23">
        <f t="shared" si="20"/>
        <v>-302911.2471</v>
      </c>
      <c r="M86" s="23">
        <f t="shared" si="20"/>
        <v>-318892.1549</v>
      </c>
      <c r="N86" s="23">
        <f t="shared" si="20"/>
        <v>-327959.389</v>
      </c>
      <c r="O86" s="23">
        <f t="shared" si="20"/>
        <v>-414495.042</v>
      </c>
      <c r="P86" s="23">
        <f t="shared" si="20"/>
        <v>-336726.5756</v>
      </c>
      <c r="Q86" s="23">
        <f t="shared" si="20"/>
        <v>-381476.572</v>
      </c>
      <c r="R86" s="23">
        <f t="shared" si="20"/>
        <v>-382972.7994</v>
      </c>
      <c r="S86" s="23">
        <f t="shared" si="20"/>
        <v>-301420.1199</v>
      </c>
      <c r="T86" s="23">
        <f t="shared" si="20"/>
        <v>-395978.8101</v>
      </c>
      <c r="U86" s="23">
        <f t="shared" si="20"/>
        <v>-368629.9931</v>
      </c>
    </row>
    <row r="87" ht="15.75" customHeight="1">
      <c r="A87" s="1"/>
      <c r="B87" s="1"/>
      <c r="C87" s="1"/>
      <c r="D87" s="1"/>
      <c r="E87" s="19"/>
      <c r="F87" s="19"/>
      <c r="G87" s="19"/>
      <c r="H87" s="20" t="s">
        <v>1</v>
      </c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</row>
    <row r="88" ht="15.0" customHeight="1">
      <c r="A88" s="1"/>
      <c r="B88" s="9" t="s">
        <v>88</v>
      </c>
      <c r="C88" s="7"/>
      <c r="D88" s="7"/>
      <c r="E88" s="16">
        <f t="shared" ref="E88:H88" si="21">F9</f>
        <v>128888.1378</v>
      </c>
      <c r="F88" s="16">
        <f t="shared" si="21"/>
        <v>211941.162</v>
      </c>
      <c r="G88" s="16">
        <f t="shared" si="21"/>
        <v>275905.0097</v>
      </c>
      <c r="H88" s="17">
        <f t="shared" si="21"/>
        <v>250799.26</v>
      </c>
      <c r="I88" s="16">
        <f t="shared" ref="I88:U88" si="22">I9+I54+I86</f>
        <v>274697.5273</v>
      </c>
      <c r="J88" s="16">
        <f t="shared" si="22"/>
        <v>276172.0957</v>
      </c>
      <c r="K88" s="16">
        <f t="shared" si="22"/>
        <v>274809.7759</v>
      </c>
      <c r="L88" s="16">
        <f t="shared" si="22"/>
        <v>271368.5288</v>
      </c>
      <c r="M88" s="16">
        <f t="shared" si="22"/>
        <v>273476.3739</v>
      </c>
      <c r="N88" s="16">
        <f t="shared" si="22"/>
        <v>272246.9849</v>
      </c>
      <c r="O88" s="16">
        <f t="shared" si="22"/>
        <v>273351.9429</v>
      </c>
      <c r="P88" s="16">
        <f t="shared" si="22"/>
        <v>273965.3673</v>
      </c>
      <c r="Q88" s="16">
        <f t="shared" si="22"/>
        <v>273389.0953</v>
      </c>
      <c r="R88" s="16">
        <f t="shared" si="22"/>
        <v>274886.2959</v>
      </c>
      <c r="S88" s="16">
        <f t="shared" si="22"/>
        <v>274466.176</v>
      </c>
      <c r="T88" s="16">
        <f t="shared" si="22"/>
        <v>271227.366</v>
      </c>
      <c r="U88" s="16">
        <f t="shared" si="22"/>
        <v>269597.3729</v>
      </c>
    </row>
    <row r="89" ht="15.75" customHeight="1">
      <c r="A89" s="1"/>
    </row>
    <row r="90" ht="15.75" customHeight="1"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</row>
    <row r="91" ht="15.0" customHeight="1">
      <c r="A91" s="1"/>
      <c r="B91" s="45" t="s">
        <v>89</v>
      </c>
      <c r="C91" s="7"/>
      <c r="D91" s="7"/>
      <c r="E91" s="46">
        <v>470623.96</v>
      </c>
      <c r="F91" s="46">
        <v>398669.9</v>
      </c>
      <c r="G91" s="46">
        <v>310443.0</v>
      </c>
      <c r="H91" s="47">
        <v>284995.05</v>
      </c>
      <c r="I91" s="18">
        <v>331884.99</v>
      </c>
      <c r="J91" s="16">
        <f t="shared" ref="J91:U91" si="23">I91+I51-(SUM(I13:I45))+I78+I83</f>
        <v>448086.87</v>
      </c>
      <c r="K91" s="16">
        <f t="shared" si="23"/>
        <v>542896.87</v>
      </c>
      <c r="L91" s="16">
        <f t="shared" si="23"/>
        <v>566599.38</v>
      </c>
      <c r="M91" s="16">
        <f t="shared" si="23"/>
        <v>669060.687</v>
      </c>
      <c r="N91" s="16">
        <f t="shared" si="23"/>
        <v>698060.687</v>
      </c>
      <c r="O91" s="16">
        <f t="shared" si="23"/>
        <v>791330.687</v>
      </c>
      <c r="P91" s="16">
        <f t="shared" si="23"/>
        <v>756010.687</v>
      </c>
      <c r="Q91" s="16">
        <f t="shared" si="23"/>
        <v>840698.5594</v>
      </c>
      <c r="R91" s="16">
        <f t="shared" si="23"/>
        <v>839798.2594</v>
      </c>
      <c r="S91" s="16">
        <f t="shared" si="23"/>
        <v>885328.2594</v>
      </c>
      <c r="T91" s="16">
        <f t="shared" si="23"/>
        <v>984608.2594</v>
      </c>
      <c r="U91" s="16">
        <f t="shared" si="23"/>
        <v>1041868.259</v>
      </c>
    </row>
    <row r="92" ht="15.75" customHeight="1"/>
    <row r="93" ht="36.75" customHeight="1">
      <c r="B93" s="48" t="s">
        <v>90</v>
      </c>
      <c r="C93" s="7"/>
      <c r="D93" s="7"/>
      <c r="E93" s="49">
        <f>'Future Sales'!G26-sum(E60:E75)-sum(E77:E84)</f>
        <v>59438.8204</v>
      </c>
      <c r="F93" s="49">
        <f>'Future Sales'!H26-sum(F60:F75)-sum(F77:F84)</f>
        <v>14792.58969</v>
      </c>
      <c r="G93" s="49">
        <f>'Future Sales'!I26-sum(G60:G75)-sum(G77:G84)</f>
        <v>32199.63546</v>
      </c>
      <c r="H93" s="49">
        <f>'Future Sales'!J26-sum(H60:H75)-sum(H77:H84)</f>
        <v>-35768.67607</v>
      </c>
      <c r="I93" s="49">
        <f>'Future Sales'!K26-sum(I60:I75)-sum(I77:I84)</f>
        <v>19143.18679</v>
      </c>
      <c r="J93" s="49">
        <f>'Future Sales'!L26-sum(J60:J75)-sum(J77:J84)</f>
        <v>-4224.581374</v>
      </c>
      <c r="K93" s="49">
        <f>'Future Sales'!M26-sum(K60:K75)-sum(K77:K84)</f>
        <v>14869.27046</v>
      </c>
      <c r="L93" s="49">
        <f>'Future Sales'!N26-sum(L60:L75)-sum(L77:L84)</f>
        <v>-22165.37721</v>
      </c>
      <c r="M93" s="49">
        <f>'Future Sales'!O26-sum(M60:M75)-sum(M77:M84)</f>
        <v>10320.49708</v>
      </c>
      <c r="N93" s="49">
        <f>'Future Sales'!P26-sum(N60:N75)-sum(N77:N84)</f>
        <v>-28975.68228</v>
      </c>
      <c r="O93" s="49">
        <f>'Future Sales'!Q26-sum(O60:O75)-sum(O77:O84)</f>
        <v>-8702.724254</v>
      </c>
      <c r="P93" s="49">
        <f>'Future Sales'!R26-sum(P60:P75)-sum(P77:P84)</f>
        <v>-25154.32129</v>
      </c>
      <c r="Q93" s="49">
        <f>'Future Sales'!S26-sum(Q60:Q75)-sum(Q77:Q84)</f>
        <v>-9404.631231</v>
      </c>
      <c r="R93" s="49">
        <f>'Future Sales'!T26-sum(R60:R75)-sum(R77:R84)</f>
        <v>-12291.81357</v>
      </c>
      <c r="S93" s="49">
        <f>'Future Sales'!U26-sum(S60:S75)-sum(S77:S84)</f>
        <v>12730.76438</v>
      </c>
      <c r="T93" s="49">
        <f>'Future Sales'!V26-sum(T60:T75)-sum(T77:T84)</f>
        <v>-6049.040311</v>
      </c>
      <c r="U93" s="49">
        <f>'Future Sales'!W26-sum(U60:U75)-sum(U77:U84)</f>
        <v>3500.121043</v>
      </c>
    </row>
    <row r="94" ht="15.75" customHeight="1"/>
    <row r="95" ht="24.0" customHeight="1">
      <c r="B95" s="50" t="s">
        <v>91</v>
      </c>
      <c r="C95" s="7"/>
      <c r="D95" s="7"/>
      <c r="E95" s="51">
        <v>103272.0</v>
      </c>
      <c r="F95" s="51">
        <v>82666.0</v>
      </c>
      <c r="G95" s="51">
        <v>105721.0</v>
      </c>
      <c r="H95" s="51">
        <v>133051.0</v>
      </c>
      <c r="I95" s="51">
        <v>111121.0</v>
      </c>
      <c r="J95" s="52">
        <f t="shared" ref="J95:U95" si="24">I95-J16+10000</f>
        <v>121121</v>
      </c>
      <c r="K95" s="52">
        <f t="shared" si="24"/>
        <v>81121</v>
      </c>
      <c r="L95" s="52">
        <f t="shared" si="24"/>
        <v>91121</v>
      </c>
      <c r="M95" s="52">
        <f t="shared" si="24"/>
        <v>51121</v>
      </c>
      <c r="N95" s="52">
        <f t="shared" si="24"/>
        <v>61121</v>
      </c>
      <c r="O95" s="52">
        <f t="shared" si="24"/>
        <v>21121</v>
      </c>
      <c r="P95" s="52">
        <f t="shared" si="24"/>
        <v>31121</v>
      </c>
      <c r="Q95" s="52">
        <f t="shared" si="24"/>
        <v>1420.7</v>
      </c>
      <c r="R95" s="52">
        <f t="shared" si="24"/>
        <v>11420.7</v>
      </c>
      <c r="S95" s="52">
        <f t="shared" si="24"/>
        <v>21420.7</v>
      </c>
      <c r="T95" s="52">
        <f t="shared" si="24"/>
        <v>31420.7</v>
      </c>
      <c r="U95" s="52">
        <f t="shared" si="24"/>
        <v>41420.7</v>
      </c>
    </row>
    <row r="96" ht="11.25" customHeight="1">
      <c r="B96" s="53"/>
      <c r="C96" s="53"/>
      <c r="D96" s="53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</row>
    <row r="97" ht="24.0" customHeight="1">
      <c r="B97" s="50" t="s">
        <v>92</v>
      </c>
      <c r="C97" s="7"/>
      <c r="D97" s="7"/>
      <c r="E97" s="52"/>
      <c r="F97" s="52"/>
      <c r="G97" s="52"/>
      <c r="H97" s="51">
        <v>2256.0</v>
      </c>
      <c r="I97" s="51">
        <v>27317.0</v>
      </c>
      <c r="J97" s="52">
        <f>I97-(I22*0.21)+3000</f>
        <v>22526.1407</v>
      </c>
      <c r="K97" s="52">
        <f t="shared" ref="K97:O97" si="25">J97-(J22*0.2)+3000</f>
        <v>16526.1407</v>
      </c>
      <c r="L97" s="52">
        <f t="shared" si="25"/>
        <v>19526.1407</v>
      </c>
      <c r="M97" s="52">
        <f t="shared" si="25"/>
        <v>13526.1407</v>
      </c>
      <c r="N97" s="52">
        <f t="shared" si="25"/>
        <v>16526.1407</v>
      </c>
      <c r="O97" s="52">
        <f t="shared" si="25"/>
        <v>10526.1407</v>
      </c>
      <c r="P97" s="52">
        <f t="shared" ref="P97:S97" si="26">O97-(O22*0.18)+3000</f>
        <v>6866.1407</v>
      </c>
      <c r="Q97" s="52">
        <f t="shared" si="26"/>
        <v>1766.1407</v>
      </c>
      <c r="R97" s="52">
        <f t="shared" si="26"/>
        <v>4766.1407</v>
      </c>
      <c r="S97" s="52">
        <f t="shared" si="26"/>
        <v>-333.8593</v>
      </c>
      <c r="T97" s="52">
        <f t="shared" ref="T97:U97" si="27">S97-(S22*0.2)+3000</f>
        <v>2666.1407</v>
      </c>
      <c r="U97" s="52">
        <f t="shared" si="27"/>
        <v>-3333.8593</v>
      </c>
    </row>
    <row r="98" ht="15.75" customHeight="1"/>
    <row r="99" ht="24.0" customHeight="1">
      <c r="B99" s="50" t="s">
        <v>93</v>
      </c>
      <c r="C99" s="7"/>
      <c r="D99" s="7"/>
      <c r="E99" s="52"/>
      <c r="F99" s="52"/>
      <c r="G99" s="52"/>
      <c r="H99" s="52"/>
      <c r="I99" s="51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</row>
    <row r="100" ht="15.75" customHeight="1">
      <c r="E100" s="54"/>
    </row>
    <row r="101" ht="15.75" customHeight="1">
      <c r="E101" s="54"/>
    </row>
    <row r="102" ht="15.75" customHeight="1">
      <c r="E102" s="54"/>
    </row>
    <row r="103" ht="15.75" customHeight="1">
      <c r="E103" s="54"/>
    </row>
    <row r="104" ht="15.75" customHeight="1">
      <c r="E104" s="54"/>
    </row>
    <row r="105" ht="15.75" customHeight="1">
      <c r="E105" s="54"/>
    </row>
    <row r="106" ht="15.75" customHeight="1">
      <c r="E106" s="54"/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</sheetData>
  <mergeCells count="21">
    <mergeCell ref="B1:U3"/>
    <mergeCell ref="E5:H5"/>
    <mergeCell ref="I5:U5"/>
    <mergeCell ref="B6:D6"/>
    <mergeCell ref="B7:D7"/>
    <mergeCell ref="B9:D9"/>
    <mergeCell ref="B11:D11"/>
    <mergeCell ref="B86:D86"/>
    <mergeCell ref="B88:D88"/>
    <mergeCell ref="B91:D91"/>
    <mergeCell ref="B93:D93"/>
    <mergeCell ref="B95:D95"/>
    <mergeCell ref="B97:D97"/>
    <mergeCell ref="B99:D99"/>
    <mergeCell ref="C12:D12"/>
    <mergeCell ref="C46:D46"/>
    <mergeCell ref="C50:D50"/>
    <mergeCell ref="B54:D54"/>
    <mergeCell ref="B56:D56"/>
    <mergeCell ref="C57:D57"/>
    <mergeCell ref="C76:D76"/>
  </mergeCells>
  <printOptions/>
  <pageMargins bottom="0.75" footer="0.0" header="0.0" left="0.7" right="0.7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3" width="10.63"/>
  </cols>
  <sheetData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47.5"/>
    <col customWidth="1" min="2" max="28" width="10.63"/>
  </cols>
  <sheetData>
    <row r="1">
      <c r="A1" s="55" t="s">
        <v>94</v>
      </c>
      <c r="B1" s="55" t="s">
        <v>95</v>
      </c>
      <c r="C1" s="55" t="s">
        <v>96</v>
      </c>
      <c r="D1" s="55" t="s">
        <v>97</v>
      </c>
      <c r="E1" s="55" t="s">
        <v>98</v>
      </c>
      <c r="F1" s="55" t="s">
        <v>99</v>
      </c>
      <c r="G1" s="55" t="s">
        <v>100</v>
      </c>
      <c r="H1" s="55" t="s">
        <v>101</v>
      </c>
      <c r="I1" s="55" t="s">
        <v>102</v>
      </c>
      <c r="J1" s="55" t="s">
        <v>103</v>
      </c>
      <c r="K1" s="55" t="s">
        <v>104</v>
      </c>
      <c r="L1" s="55" t="s">
        <v>105</v>
      </c>
      <c r="M1" s="55" t="s">
        <v>106</v>
      </c>
      <c r="N1" s="55" t="s">
        <v>107</v>
      </c>
      <c r="O1" s="55" t="s">
        <v>108</v>
      </c>
      <c r="P1" s="55" t="s">
        <v>109</v>
      </c>
      <c r="Q1" s="55" t="s">
        <v>110</v>
      </c>
      <c r="R1" s="56">
        <v>46294.0</v>
      </c>
      <c r="S1" s="56">
        <v>46301.0</v>
      </c>
      <c r="T1" s="56">
        <v>46308.0</v>
      </c>
      <c r="U1" s="56">
        <v>46315.0</v>
      </c>
      <c r="V1" s="56">
        <v>46322.0</v>
      </c>
      <c r="W1" s="56">
        <v>46329.0</v>
      </c>
      <c r="X1" s="56">
        <v>46336.0</v>
      </c>
      <c r="Y1" s="55" t="s">
        <v>111</v>
      </c>
      <c r="Z1" s="55"/>
      <c r="AA1" s="57"/>
      <c r="AB1" s="57"/>
    </row>
    <row r="2">
      <c r="A2" s="58" t="s">
        <v>23</v>
      </c>
      <c r="B2" s="59"/>
      <c r="C2" s="59"/>
      <c r="D2" s="59"/>
      <c r="E2" s="59">
        <v>21182.89</v>
      </c>
      <c r="F2" s="59">
        <v>13381.13</v>
      </c>
      <c r="G2" s="59">
        <v>9213.87</v>
      </c>
      <c r="H2" s="59">
        <v>18259.5</v>
      </c>
      <c r="I2" s="59"/>
      <c r="J2" s="59">
        <v>18959.5</v>
      </c>
      <c r="K2" s="59">
        <v>27288.68</v>
      </c>
      <c r="L2" s="59">
        <v>18718.45</v>
      </c>
      <c r="M2" s="59">
        <v>21597.8</v>
      </c>
      <c r="N2" s="59">
        <v>28689.53</v>
      </c>
      <c r="O2" s="59">
        <v>8725.5</v>
      </c>
      <c r="P2" s="59">
        <v>26240.2</v>
      </c>
      <c r="Q2" s="59">
        <v>14935.48</v>
      </c>
      <c r="R2" s="59"/>
      <c r="S2" s="59"/>
      <c r="T2" s="59"/>
      <c r="U2" s="59"/>
      <c r="V2" s="59"/>
      <c r="W2" s="59"/>
      <c r="X2" s="59"/>
      <c r="Y2" s="59">
        <f t="shared" ref="Y2:Y20" si="1">SUM(B2:U2)</f>
        <v>227192.53</v>
      </c>
      <c r="Z2" s="60"/>
      <c r="AA2" s="60"/>
      <c r="AB2" s="60"/>
    </row>
    <row r="3">
      <c r="A3" s="58" t="s">
        <v>25</v>
      </c>
      <c r="B3" s="59"/>
      <c r="C3" s="59"/>
      <c r="D3" s="59"/>
      <c r="E3" s="59"/>
      <c r="F3" s="59"/>
      <c r="G3" s="59"/>
      <c r="H3" s="59">
        <v>19000.0</v>
      </c>
      <c r="I3" s="59">
        <v>34200.0</v>
      </c>
      <c r="J3" s="59">
        <v>28268.74</v>
      </c>
      <c r="K3" s="59"/>
      <c r="L3" s="59">
        <v>1155.49</v>
      </c>
      <c r="M3" s="59">
        <v>26600.0</v>
      </c>
      <c r="N3" s="59"/>
      <c r="O3" s="59">
        <v>26600.0</v>
      </c>
      <c r="P3" s="59">
        <v>29521.07</v>
      </c>
      <c r="Q3" s="59">
        <v>27941.81</v>
      </c>
      <c r="R3" s="59"/>
      <c r="S3" s="59"/>
      <c r="T3" s="59"/>
      <c r="U3" s="59"/>
      <c r="V3" s="59"/>
      <c r="W3" s="59"/>
      <c r="X3" s="59"/>
      <c r="Y3" s="59">
        <f t="shared" si="1"/>
        <v>193287.11</v>
      </c>
      <c r="Z3" s="60"/>
      <c r="AA3" s="60"/>
      <c r="AB3" s="60"/>
    </row>
    <row r="4">
      <c r="A4" s="58" t="s">
        <v>28</v>
      </c>
      <c r="B4" s="59"/>
      <c r="C4" s="59"/>
      <c r="D4" s="59"/>
      <c r="E4" s="59"/>
      <c r="F4" s="59">
        <v>5760.0</v>
      </c>
      <c r="G4" s="59">
        <v>9600.0</v>
      </c>
      <c r="H4" s="59">
        <v>9600.0</v>
      </c>
      <c r="I4" s="59">
        <v>9600.0</v>
      </c>
      <c r="J4" s="59">
        <v>9600.0</v>
      </c>
      <c r="K4" s="59">
        <v>9600.0</v>
      </c>
      <c r="L4" s="59">
        <v>3840.0</v>
      </c>
      <c r="M4" s="59">
        <v>9600.0</v>
      </c>
      <c r="N4" s="59">
        <v>7680.0</v>
      </c>
      <c r="O4" s="59">
        <v>7680.0</v>
      </c>
      <c r="P4" s="59">
        <v>9600.0</v>
      </c>
      <c r="Q4" s="59">
        <v>9600.0</v>
      </c>
      <c r="R4" s="59"/>
      <c r="S4" s="59"/>
      <c r="T4" s="59"/>
      <c r="U4" s="59"/>
      <c r="V4" s="59"/>
      <c r="W4" s="59"/>
      <c r="X4" s="59"/>
      <c r="Y4" s="59">
        <f t="shared" si="1"/>
        <v>101760</v>
      </c>
      <c r="Z4" s="60"/>
      <c r="AA4" s="60"/>
      <c r="AB4" s="60"/>
    </row>
    <row r="5">
      <c r="A5" s="58" t="s">
        <v>31</v>
      </c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>
        <v>16846.61</v>
      </c>
      <c r="N5" s="59">
        <v>12350.0</v>
      </c>
      <c r="O5" s="59">
        <v>18141.85</v>
      </c>
      <c r="P5" s="59">
        <v>29779.65</v>
      </c>
      <c r="Q5" s="59">
        <v>30391.44</v>
      </c>
      <c r="R5" s="59"/>
      <c r="S5" s="59"/>
      <c r="T5" s="59"/>
      <c r="U5" s="59"/>
      <c r="V5" s="59"/>
      <c r="W5" s="59"/>
      <c r="X5" s="59"/>
      <c r="Y5" s="59">
        <f t="shared" si="1"/>
        <v>107509.55</v>
      </c>
      <c r="Z5" s="60"/>
      <c r="AA5" s="60"/>
      <c r="AB5" s="60"/>
    </row>
    <row r="6">
      <c r="A6" s="58" t="s">
        <v>32</v>
      </c>
      <c r="B6" s="59">
        <v>3717.94</v>
      </c>
      <c r="C6" s="59">
        <v>7371.28</v>
      </c>
      <c r="D6" s="59">
        <v>5528.46</v>
      </c>
      <c r="E6" s="59">
        <v>7371.28</v>
      </c>
      <c r="F6" s="59">
        <v>5528.46</v>
      </c>
      <c r="G6" s="59">
        <v>5528.46</v>
      </c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>
        <f t="shared" si="1"/>
        <v>35045.88</v>
      </c>
      <c r="Z6" s="60"/>
      <c r="AA6" s="60"/>
      <c r="AB6" s="60"/>
    </row>
    <row r="7">
      <c r="A7" s="58" t="s">
        <v>34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>
        <v>13770.0</v>
      </c>
      <c r="R7" s="59"/>
      <c r="S7" s="59"/>
      <c r="T7" s="59"/>
      <c r="U7" s="59"/>
      <c r="V7" s="59"/>
      <c r="W7" s="59"/>
      <c r="X7" s="59"/>
      <c r="Y7" s="59">
        <f t="shared" si="1"/>
        <v>13770</v>
      </c>
      <c r="Z7" s="60"/>
      <c r="AA7" s="60"/>
      <c r="AB7" s="60"/>
    </row>
    <row r="8">
      <c r="A8" s="58" t="s">
        <v>112</v>
      </c>
      <c r="B8" s="59"/>
      <c r="C8" s="59"/>
      <c r="D8" s="59"/>
      <c r="E8" s="59"/>
      <c r="F8" s="59"/>
      <c r="G8" s="59"/>
      <c r="H8" s="59"/>
      <c r="I8" s="59"/>
      <c r="J8" s="59"/>
      <c r="K8" s="59">
        <v>7541.7</v>
      </c>
      <c r="L8" s="59">
        <v>7326.7</v>
      </c>
      <c r="M8" s="59"/>
      <c r="N8" s="59"/>
      <c r="O8" s="59"/>
      <c r="P8" s="59"/>
      <c r="Q8" s="59">
        <v>16503.3</v>
      </c>
      <c r="R8" s="59"/>
      <c r="S8" s="59"/>
      <c r="T8" s="59"/>
      <c r="U8" s="59"/>
      <c r="V8" s="59"/>
      <c r="W8" s="59"/>
      <c r="X8" s="59"/>
      <c r="Y8" s="59">
        <f t="shared" si="1"/>
        <v>31371.7</v>
      </c>
      <c r="Z8" s="60"/>
      <c r="AA8" s="60"/>
      <c r="AB8" s="60"/>
    </row>
    <row r="9">
      <c r="A9" s="58" t="s">
        <v>113</v>
      </c>
      <c r="B9" s="59"/>
      <c r="C9" s="59"/>
      <c r="D9" s="59"/>
      <c r="E9" s="59"/>
      <c r="F9" s="59"/>
      <c r="G9" s="59"/>
      <c r="H9" s="59">
        <v>273.0</v>
      </c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>
        <f t="shared" si="1"/>
        <v>273</v>
      </c>
      <c r="Z9" s="60"/>
      <c r="AA9" s="60"/>
      <c r="AB9" s="60"/>
    </row>
    <row r="10">
      <c r="A10" s="58" t="s">
        <v>37</v>
      </c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>
        <f t="shared" si="1"/>
        <v>0</v>
      </c>
      <c r="Z10" s="60"/>
      <c r="AA10" s="60"/>
      <c r="AB10" s="60"/>
    </row>
    <row r="11">
      <c r="A11" s="58" t="s">
        <v>39</v>
      </c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>
        <v>12000.0</v>
      </c>
      <c r="P11" s="59">
        <v>15000.0</v>
      </c>
      <c r="Q11" s="59">
        <v>15000.0</v>
      </c>
      <c r="R11" s="59"/>
      <c r="S11" s="59"/>
      <c r="T11" s="59"/>
      <c r="U11" s="59"/>
      <c r="V11" s="59"/>
      <c r="W11" s="59"/>
      <c r="X11" s="59"/>
      <c r="Y11" s="59">
        <f t="shared" si="1"/>
        <v>42000</v>
      </c>
      <c r="Z11" s="60"/>
      <c r="AA11" s="60"/>
      <c r="AB11" s="60"/>
    </row>
    <row r="12">
      <c r="A12" s="58" t="s">
        <v>38</v>
      </c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>
        <v>59047.0</v>
      </c>
      <c r="N12" s="59">
        <v>27950.0</v>
      </c>
      <c r="O12" s="59">
        <v>55012.5</v>
      </c>
      <c r="P12" s="59">
        <v>87794.17</v>
      </c>
      <c r="Q12" s="59">
        <v>15800.0</v>
      </c>
      <c r="R12" s="59"/>
      <c r="S12" s="59"/>
      <c r="T12" s="59"/>
      <c r="U12" s="59"/>
      <c r="V12" s="59"/>
      <c r="W12" s="59"/>
      <c r="X12" s="59"/>
      <c r="Y12" s="59">
        <f t="shared" si="1"/>
        <v>245603.67</v>
      </c>
      <c r="Z12" s="60"/>
      <c r="AA12" s="60"/>
      <c r="AB12" s="60"/>
    </row>
    <row r="13">
      <c r="A13" s="58" t="s">
        <v>41</v>
      </c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>
        <v>10126.81</v>
      </c>
      <c r="O13" s="59">
        <v>7892.23</v>
      </c>
      <c r="P13" s="59">
        <v>10258.76</v>
      </c>
      <c r="Q13" s="59">
        <v>6459.61</v>
      </c>
      <c r="R13" s="59"/>
      <c r="S13" s="59"/>
      <c r="T13" s="59"/>
      <c r="U13" s="59"/>
      <c r="V13" s="59"/>
      <c r="W13" s="59"/>
      <c r="X13" s="59"/>
      <c r="Y13" s="59">
        <f t="shared" si="1"/>
        <v>34737.41</v>
      </c>
      <c r="Z13" s="60"/>
      <c r="AA13" s="60"/>
      <c r="AB13" s="60"/>
    </row>
    <row r="14">
      <c r="A14" s="58" t="s">
        <v>44</v>
      </c>
      <c r="B14" s="59"/>
      <c r="C14" s="59"/>
      <c r="D14" s="59"/>
      <c r="E14" s="59"/>
      <c r="F14" s="59">
        <v>7985.0</v>
      </c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>
        <f t="shared" si="1"/>
        <v>7985</v>
      </c>
      <c r="Z14" s="60"/>
      <c r="AA14" s="60"/>
      <c r="AB14" s="60"/>
    </row>
    <row r="15">
      <c r="A15" s="58" t="s">
        <v>114</v>
      </c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>
        <v>6588.11</v>
      </c>
      <c r="Q15" s="59">
        <v>4932.2</v>
      </c>
      <c r="R15" s="59"/>
      <c r="S15" s="59"/>
      <c r="T15" s="59"/>
      <c r="U15" s="59"/>
      <c r="V15" s="59"/>
      <c r="W15" s="59"/>
      <c r="X15" s="59"/>
      <c r="Y15" s="59">
        <f t="shared" si="1"/>
        <v>11520.31</v>
      </c>
      <c r="Z15" s="60"/>
      <c r="AA15" s="60"/>
      <c r="AB15" s="60"/>
    </row>
    <row r="16">
      <c r="A16" s="58" t="s">
        <v>115</v>
      </c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>
        <v>3560.0</v>
      </c>
      <c r="Q16" s="59">
        <v>12650.25</v>
      </c>
      <c r="R16" s="59"/>
      <c r="S16" s="59"/>
      <c r="T16" s="59"/>
      <c r="U16" s="59"/>
      <c r="V16" s="59"/>
      <c r="W16" s="59"/>
      <c r="X16" s="59"/>
      <c r="Y16" s="59">
        <f t="shared" si="1"/>
        <v>16210.25</v>
      </c>
      <c r="Z16" s="60"/>
      <c r="AA16" s="60"/>
      <c r="AB16" s="60"/>
    </row>
    <row r="17">
      <c r="A17" s="58" t="s">
        <v>116</v>
      </c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>
        <v>8032.0</v>
      </c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>
        <f t="shared" si="1"/>
        <v>8032</v>
      </c>
      <c r="Z17" s="60"/>
      <c r="AA17" s="60"/>
      <c r="AB17" s="60"/>
    </row>
    <row r="18">
      <c r="A18" s="58" t="s">
        <v>46</v>
      </c>
      <c r="B18" s="59"/>
      <c r="C18" s="59"/>
      <c r="D18" s="59"/>
      <c r="E18" s="59"/>
      <c r="F18" s="59"/>
      <c r="G18" s="59"/>
      <c r="H18" s="59"/>
      <c r="I18" s="59"/>
      <c r="J18" s="59"/>
      <c r="K18" s="59">
        <v>20.0</v>
      </c>
      <c r="L18" s="59">
        <v>3439.13</v>
      </c>
      <c r="M18" s="59">
        <v>3248.0</v>
      </c>
      <c r="N18" s="59"/>
      <c r="O18" s="59"/>
      <c r="P18" s="59"/>
      <c r="Q18" s="59">
        <v>434.82</v>
      </c>
      <c r="R18" s="59"/>
      <c r="S18" s="59"/>
      <c r="T18" s="59"/>
      <c r="U18" s="59"/>
      <c r="V18" s="59"/>
      <c r="W18" s="59"/>
      <c r="X18" s="59"/>
      <c r="Y18" s="59">
        <f t="shared" si="1"/>
        <v>7141.95</v>
      </c>
      <c r="Z18" s="60"/>
      <c r="AA18" s="60"/>
      <c r="AB18" s="60"/>
    </row>
    <row r="19">
      <c r="A19" s="58" t="s">
        <v>49</v>
      </c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>
        <v>7257.96</v>
      </c>
      <c r="R19" s="59"/>
      <c r="S19" s="59"/>
      <c r="T19" s="59"/>
      <c r="U19" s="59"/>
      <c r="V19" s="59"/>
      <c r="W19" s="59"/>
      <c r="X19" s="59"/>
      <c r="Y19" s="59">
        <f t="shared" si="1"/>
        <v>7257.96</v>
      </c>
      <c r="Z19" s="60"/>
      <c r="AA19" s="60"/>
      <c r="AB19" s="60"/>
    </row>
    <row r="20">
      <c r="A20" s="58" t="s">
        <v>51</v>
      </c>
      <c r="B20" s="59"/>
      <c r="C20" s="59"/>
      <c r="D20" s="59"/>
      <c r="E20" s="59">
        <v>351.98</v>
      </c>
      <c r="F20" s="59"/>
      <c r="G20" s="59">
        <v>763.74</v>
      </c>
      <c r="H20" s="59"/>
      <c r="I20" s="59"/>
      <c r="J20" s="59"/>
      <c r="K20" s="59">
        <v>132.0</v>
      </c>
      <c r="L20" s="59"/>
      <c r="M20" s="59">
        <v>19090.0</v>
      </c>
      <c r="N20" s="59">
        <v>19650.0</v>
      </c>
      <c r="O20" s="59"/>
      <c r="P20" s="59">
        <v>80558.45</v>
      </c>
      <c r="Q20" s="59">
        <v>43425.0</v>
      </c>
      <c r="R20" s="59"/>
      <c r="S20" s="59"/>
      <c r="T20" s="59"/>
      <c r="U20" s="59"/>
      <c r="V20" s="59"/>
      <c r="W20" s="59"/>
      <c r="X20" s="59"/>
      <c r="Y20" s="59">
        <f t="shared" si="1"/>
        <v>163971.17</v>
      </c>
      <c r="Z20" s="60"/>
      <c r="AA20" s="60"/>
      <c r="AB20" s="60"/>
    </row>
    <row r="21">
      <c r="A21" s="58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60"/>
      <c r="S21" s="60"/>
      <c r="T21" s="60"/>
      <c r="U21" s="60"/>
      <c r="V21" s="60"/>
      <c r="W21" s="60"/>
      <c r="X21" s="60"/>
      <c r="Y21" s="59"/>
      <c r="Z21" s="60"/>
      <c r="AA21" s="60"/>
      <c r="AB21" s="60"/>
    </row>
    <row r="22">
      <c r="A22" s="58" t="s">
        <v>117</v>
      </c>
      <c r="B22" s="61">
        <f t="shared" ref="B22:Q22" si="2">SUM(B2:B20)</f>
        <v>3717.94</v>
      </c>
      <c r="C22" s="61">
        <f t="shared" si="2"/>
        <v>7371.28</v>
      </c>
      <c r="D22" s="61">
        <f t="shared" si="2"/>
        <v>5528.46</v>
      </c>
      <c r="E22" s="61">
        <f t="shared" si="2"/>
        <v>28906.15</v>
      </c>
      <c r="F22" s="61">
        <f t="shared" si="2"/>
        <v>32654.59</v>
      </c>
      <c r="G22" s="61">
        <f t="shared" si="2"/>
        <v>25106.07</v>
      </c>
      <c r="H22" s="61">
        <f t="shared" si="2"/>
        <v>47132.5</v>
      </c>
      <c r="I22" s="61">
        <f t="shared" si="2"/>
        <v>43800</v>
      </c>
      <c r="J22" s="61">
        <f t="shared" si="2"/>
        <v>56828.24</v>
      </c>
      <c r="K22" s="61">
        <f t="shared" si="2"/>
        <v>44582.38</v>
      </c>
      <c r="L22" s="61">
        <f t="shared" si="2"/>
        <v>34479.77</v>
      </c>
      <c r="M22" s="61">
        <f t="shared" si="2"/>
        <v>164061.41</v>
      </c>
      <c r="N22" s="61">
        <f t="shared" si="2"/>
        <v>106446.34</v>
      </c>
      <c r="O22" s="61">
        <f t="shared" si="2"/>
        <v>136052.08</v>
      </c>
      <c r="P22" s="61">
        <f t="shared" si="2"/>
        <v>298900.41</v>
      </c>
      <c r="Q22" s="61">
        <f t="shared" si="2"/>
        <v>219101.87</v>
      </c>
      <c r="R22" s="61"/>
      <c r="S22" s="61"/>
      <c r="T22" s="61"/>
      <c r="U22" s="61"/>
      <c r="V22" s="61"/>
      <c r="W22" s="61"/>
      <c r="X22" s="61"/>
      <c r="Y22" s="59">
        <f>SUM(B22:U22)</f>
        <v>1254669.49</v>
      </c>
    </row>
    <row r="23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</row>
    <row r="24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</row>
    <row r="25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</row>
    <row r="26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</row>
    <row r="27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</row>
    <row r="28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</row>
    <row r="29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</row>
    <row r="30" ht="120.75" customHeight="1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</row>
    <row r="31" ht="15.75" customHeight="1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</row>
    <row r="32" ht="15.75" customHeight="1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</row>
    <row r="33" ht="15.75" customHeight="1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</row>
    <row r="34" ht="15.75" customHeight="1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</row>
    <row r="35" ht="15.75" customHeight="1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</row>
    <row r="36" ht="15.75" customHeight="1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</row>
    <row r="37" ht="15.75" customHeight="1">
      <c r="A37" s="58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</row>
    <row r="38" ht="15.75" customHeight="1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</row>
    <row r="39" ht="15.75" customHeight="1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</row>
    <row r="40" ht="15.75" customHeight="1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</row>
    <row r="41" ht="15.75" customHeight="1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</row>
    <row r="42" ht="15.75" customHeight="1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</row>
    <row r="43" ht="15.75" customHeight="1">
      <c r="A43" s="58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</row>
    <row r="44" ht="15.75" customHeight="1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</row>
    <row r="45" ht="15.75" customHeight="1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</row>
    <row r="46" ht="15.75" customHeight="1">
      <c r="A46" s="58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</row>
    <row r="47" ht="15.75" customHeight="1">
      <c r="A47" s="5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</row>
    <row r="48" ht="15.75" customHeight="1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</row>
    <row r="49" ht="15.75" customHeight="1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</row>
    <row r="50" ht="15.75" customHeight="1">
      <c r="A50" s="5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</row>
    <row r="51" ht="15.75" customHeight="1">
      <c r="A51" s="58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</row>
    <row r="52" ht="15.75" customHeight="1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</row>
    <row r="53" ht="15.75" customHeight="1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</row>
    <row r="54" ht="15.75" customHeight="1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</row>
    <row r="55" ht="15.75" customHeight="1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</row>
    <row r="56" ht="15.75" customHeight="1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</row>
    <row r="57" ht="15.75" customHeight="1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</row>
    <row r="58" ht="15.75" customHeight="1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</row>
    <row r="59" ht="15.75" customHeight="1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</row>
    <row r="60" ht="15.75" customHeight="1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</row>
    <row r="61" ht="15.75" customHeight="1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</row>
    <row r="62" ht="15.75" customHeight="1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</row>
    <row r="63" ht="15.75" customHeight="1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</row>
    <row r="64" ht="15.75" customHeight="1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</row>
    <row r="65" ht="15.75" customHeight="1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</row>
    <row r="66" ht="15.75" customHeight="1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</row>
    <row r="67" ht="15.75" customHeight="1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</row>
    <row r="68" ht="15.75" customHeight="1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</row>
    <row r="69" ht="15.75" customHeight="1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</row>
    <row r="70" ht="15.75" customHeight="1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</row>
    <row r="71" ht="15.75" customHeight="1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</row>
    <row r="72" ht="15.75" customHeight="1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</row>
    <row r="73" ht="15.75" customHeight="1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</row>
    <row r="74" ht="15.75" customHeight="1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</row>
    <row r="75" ht="15.75" customHeight="1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</row>
    <row r="76" ht="15.75" customHeight="1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</row>
    <row r="77" ht="15.75" customHeight="1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</row>
    <row r="78" ht="15.75" customHeight="1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</row>
    <row r="79" ht="15.75" customHeight="1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</row>
    <row r="80" ht="15.75" customHeight="1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</row>
    <row r="81" ht="15.75" customHeight="1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</row>
    <row r="82" ht="15.75" customHeight="1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</row>
    <row r="83" ht="15.75" customHeight="1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</row>
    <row r="84" ht="15.75" customHeight="1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</row>
    <row r="85" ht="15.75" customHeight="1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</row>
    <row r="86" ht="15.75" customHeight="1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</row>
    <row r="87" ht="15.75" customHeight="1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</row>
    <row r="88" ht="15.75" customHeight="1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</row>
    <row r="89" ht="15.75" customHeight="1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</row>
    <row r="90" ht="15.75" customHeight="1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</row>
    <row r="91" ht="15.75" customHeight="1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</row>
    <row r="92" ht="15.75" customHeight="1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</row>
    <row r="93" ht="15.75" customHeight="1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</row>
    <row r="94" ht="15.75" customHeight="1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</row>
    <row r="95" ht="15.75" customHeight="1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</row>
    <row r="96" ht="15.75" customHeight="1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</row>
    <row r="97" ht="15.75" customHeight="1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</row>
    <row r="98" ht="15.75" customHeight="1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</row>
    <row r="99" ht="15.75" customHeight="1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</row>
    <row r="100" ht="15.75" customHeight="1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</row>
    <row r="101" ht="15.75" customHeight="1">
      <c r="A101" s="58"/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</row>
    <row r="102" ht="15.75" customHeight="1">
      <c r="A102" s="58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</row>
    <row r="103" ht="15.75" customHeight="1">
      <c r="A103" s="58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</row>
    <row r="104" ht="15.75" customHeight="1">
      <c r="A104" s="58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</row>
    <row r="105" ht="15.75" customHeight="1">
      <c r="A105" s="58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</row>
    <row r="106" ht="15.75" customHeight="1">
      <c r="A106" s="58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</row>
    <row r="107" ht="15.75" customHeight="1">
      <c r="A107" s="58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</row>
    <row r="108" ht="15.75" customHeight="1">
      <c r="A108" s="58"/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</row>
    <row r="109" ht="15.75" customHeight="1">
      <c r="A109" s="58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</row>
    <row r="110" ht="15.75" customHeight="1">
      <c r="A110" s="58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</row>
    <row r="111" ht="15.75" customHeight="1">
      <c r="A111" s="58"/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</row>
    <row r="112" ht="15.75" customHeight="1">
      <c r="A112" s="58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</row>
    <row r="113" ht="15.75" customHeight="1">
      <c r="A113" s="58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</row>
    <row r="114" ht="15.75" customHeight="1">
      <c r="A114" s="58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</row>
    <row r="115" ht="15.75" customHeight="1">
      <c r="A115" s="58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</row>
    <row r="116" ht="15.75" customHeight="1">
      <c r="A116" s="58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</row>
    <row r="117" ht="15.75" customHeight="1">
      <c r="A117" s="58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</row>
    <row r="118" ht="15.75" customHeight="1">
      <c r="A118" s="58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</row>
    <row r="119" ht="15.75" customHeight="1">
      <c r="A119" s="58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</row>
    <row r="120" ht="15.75" customHeight="1">
      <c r="A120" s="58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</row>
    <row r="121" ht="15.75" customHeight="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</row>
    <row r="122" ht="15.75" customHeight="1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</row>
    <row r="123" ht="15.75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</row>
    <row r="124" ht="15.75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</row>
    <row r="125" ht="15.75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</row>
    <row r="126" ht="15.75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</row>
    <row r="127" ht="15.75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</row>
    <row r="128" ht="15.75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</row>
    <row r="129" ht="15.75" customHeight="1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</row>
    <row r="130" ht="15.75" customHeight="1">
      <c r="A130" s="58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</row>
    <row r="131" ht="15.75" customHeight="1">
      <c r="A131" s="58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</row>
    <row r="132" ht="15.75" customHeight="1">
      <c r="A132" s="58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</row>
    <row r="133" ht="15.75" customHeight="1">
      <c r="A133" s="58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</row>
    <row r="134" ht="15.75" customHeight="1">
      <c r="A134" s="58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</row>
    <row r="135" ht="15.75" customHeight="1">
      <c r="A135" s="58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</row>
    <row r="136" ht="15.75" customHeight="1">
      <c r="A136" s="58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</row>
    <row r="137" ht="15.75" customHeight="1">
      <c r="A137" s="58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</row>
    <row r="138" ht="15.75" customHeight="1">
      <c r="A138" s="58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</row>
    <row r="139" ht="15.75" customHeight="1">
      <c r="A139" s="58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</row>
    <row r="140" ht="15.75" customHeight="1">
      <c r="A140" s="58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</row>
    <row r="141" ht="15.75" customHeight="1">
      <c r="A141" s="58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</row>
    <row r="142" ht="15.75" customHeight="1">
      <c r="A142" s="58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</row>
    <row r="143" ht="15.75" customHeight="1">
      <c r="A143" s="58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</row>
    <row r="144" ht="15.75" customHeight="1">
      <c r="A144" s="58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</row>
    <row r="145" ht="15.75" customHeight="1">
      <c r="A145" s="58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</row>
    <row r="146" ht="15.75" customHeight="1">
      <c r="A146" s="58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</row>
    <row r="147" ht="15.75" customHeight="1">
      <c r="A147" s="58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</row>
    <row r="148" ht="15.75" customHeight="1">
      <c r="A148" s="58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</row>
    <row r="149" ht="15.75" customHeight="1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</row>
    <row r="150" ht="15.75" customHeight="1">
      <c r="A150" s="58"/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</row>
    <row r="151" ht="15.75" customHeight="1">
      <c r="A151" s="58"/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</row>
    <row r="152" ht="15.75" customHeight="1">
      <c r="A152" s="58"/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</row>
    <row r="153" ht="15.75" customHeight="1">
      <c r="A153" s="58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</row>
    <row r="154" ht="15.75" customHeight="1">
      <c r="A154" s="58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</row>
    <row r="155" ht="15.75" customHeight="1">
      <c r="A155" s="58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</row>
    <row r="156" ht="15.75" customHeight="1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</row>
    <row r="157" ht="15.75" customHeight="1">
      <c r="A157" s="58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</row>
    <row r="158" ht="15.75" customHeight="1">
      <c r="A158" s="58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</row>
    <row r="159" ht="15.75" customHeight="1">
      <c r="A159" s="58"/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</row>
    <row r="160" ht="15.75" customHeight="1">
      <c r="A160" s="58"/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</row>
    <row r="161" ht="15.75" customHeight="1">
      <c r="A161" s="58"/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</row>
    <row r="162" ht="15.75" customHeight="1">
      <c r="A162" s="58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</row>
    <row r="163" ht="15.75" customHeight="1">
      <c r="A163" s="58"/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</row>
    <row r="164" ht="15.75" customHeight="1">
      <c r="A164" s="58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</row>
    <row r="165" ht="15.75" customHeight="1">
      <c r="A165" s="58"/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</row>
    <row r="166" ht="15.75" customHeight="1">
      <c r="A166" s="58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</row>
    <row r="167" ht="15.75" customHeight="1">
      <c r="A167" s="58"/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</row>
    <row r="168" ht="15.75" customHeight="1">
      <c r="A168" s="58"/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</row>
    <row r="169" ht="15.75" customHeight="1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</row>
    <row r="170" ht="15.75" customHeight="1">
      <c r="A170" s="58"/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</row>
    <row r="171" ht="15.75" customHeight="1">
      <c r="A171" s="58"/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</row>
    <row r="172" ht="15.75" customHeight="1">
      <c r="A172" s="58"/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</row>
    <row r="173" ht="15.75" customHeight="1">
      <c r="A173" s="58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</row>
    <row r="174" ht="15.75" customHeight="1">
      <c r="A174" s="58"/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</row>
    <row r="175" ht="15.75" customHeight="1">
      <c r="A175" s="58"/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</row>
    <row r="176" ht="15.75" customHeight="1">
      <c r="A176" s="58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</row>
    <row r="177" ht="15.75" customHeight="1">
      <c r="A177" s="58"/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</row>
    <row r="178" ht="15.75" customHeight="1">
      <c r="A178" s="58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</row>
    <row r="179" ht="15.75" customHeight="1">
      <c r="A179" s="58"/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</row>
    <row r="180" ht="15.75" customHeight="1">
      <c r="A180" s="58"/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</row>
    <row r="181" ht="15.75" customHeight="1">
      <c r="A181" s="58"/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</row>
    <row r="182" ht="15.75" customHeight="1">
      <c r="A182" s="58"/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</row>
    <row r="183" ht="15.75" customHeight="1">
      <c r="A183" s="58"/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</row>
    <row r="184" ht="15.75" customHeight="1">
      <c r="A184" s="58"/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</row>
    <row r="185" ht="15.75" customHeight="1">
      <c r="A185" s="58"/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</row>
    <row r="186" ht="15.75" customHeight="1">
      <c r="A186" s="58"/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</row>
    <row r="187" ht="15.75" customHeight="1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</row>
    <row r="188" ht="15.75" customHeight="1">
      <c r="A188" s="58"/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</row>
    <row r="189" ht="15.75" customHeight="1">
      <c r="A189" s="58"/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</row>
    <row r="190" ht="15.75" customHeight="1">
      <c r="A190" s="58"/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</row>
    <row r="191" ht="15.75" customHeight="1">
      <c r="A191" s="58"/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</row>
    <row r="192" ht="15.75" customHeight="1">
      <c r="A192" s="58"/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</row>
    <row r="193" ht="15.75" customHeight="1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</row>
    <row r="194" ht="15.75" customHeight="1">
      <c r="A194" s="58"/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</row>
    <row r="195" ht="15.75" customHeight="1">
      <c r="A195" s="58"/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</row>
    <row r="196" ht="15.75" customHeight="1">
      <c r="A196" s="58"/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</row>
    <row r="197" ht="15.75" customHeight="1">
      <c r="A197" s="58"/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</row>
    <row r="198" ht="15.75" customHeight="1">
      <c r="A198" s="58"/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</row>
    <row r="199" ht="15.75" customHeight="1">
      <c r="A199" s="58"/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</row>
    <row r="200" ht="15.75" customHeight="1">
      <c r="A200" s="58"/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</row>
    <row r="201" ht="15.75" customHeight="1">
      <c r="A201" s="58"/>
      <c r="B201" s="58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</row>
    <row r="202" ht="15.75" customHeight="1">
      <c r="A202" s="58"/>
      <c r="B202" s="58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</row>
    <row r="203" ht="15.75" customHeight="1">
      <c r="A203" s="58"/>
      <c r="B203" s="58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</row>
    <row r="204" ht="15.75" customHeight="1">
      <c r="A204" s="58"/>
      <c r="B204" s="58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</row>
    <row r="205" ht="15.75" customHeight="1">
      <c r="A205" s="58"/>
      <c r="B205" s="58"/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</row>
    <row r="206" ht="15.75" customHeight="1">
      <c r="A206" s="58"/>
      <c r="B206" s="58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</row>
    <row r="207" ht="15.75" customHeight="1">
      <c r="A207" s="58"/>
      <c r="B207" s="58"/>
      <c r="C207" s="58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</row>
    <row r="208" ht="15.75" customHeight="1">
      <c r="A208" s="58"/>
      <c r="B208" s="58"/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</row>
    <row r="209" ht="15.75" customHeight="1">
      <c r="A209" s="58"/>
      <c r="B209" s="58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</row>
    <row r="210" ht="15.75" customHeight="1">
      <c r="A210" s="58"/>
      <c r="B210" s="58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</row>
    <row r="211" ht="15.75" customHeight="1">
      <c r="A211" s="58"/>
      <c r="B211" s="58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</row>
    <row r="212" ht="15.75" customHeight="1">
      <c r="A212" s="58"/>
      <c r="B212" s="58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</row>
    <row r="213" ht="15.75" customHeight="1">
      <c r="A213" s="58"/>
      <c r="B213" s="58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</row>
    <row r="214" ht="15.75" customHeight="1">
      <c r="A214" s="58"/>
      <c r="B214" s="58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</row>
    <row r="215" ht="15.75" customHeight="1">
      <c r="A215" s="58"/>
      <c r="B215" s="58"/>
      <c r="C215" s="58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</row>
    <row r="216" ht="15.75" customHeight="1">
      <c r="A216" s="58"/>
      <c r="B216" s="58"/>
      <c r="C216" s="58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</row>
    <row r="217" ht="15.75" customHeight="1">
      <c r="A217" s="58"/>
      <c r="B217" s="58"/>
      <c r="C217" s="58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</row>
    <row r="218" ht="15.75" customHeight="1">
      <c r="A218" s="58"/>
      <c r="B218" s="58"/>
      <c r="C218" s="58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</row>
    <row r="219" ht="15.75" customHeight="1">
      <c r="A219" s="58"/>
      <c r="B219" s="58"/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</row>
    <row r="220" ht="15.75" customHeight="1">
      <c r="A220" s="58"/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</row>
    <row r="221" ht="15.75" customHeight="1">
      <c r="A221" s="58"/>
      <c r="B221" s="58"/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</row>
    <row r="222" ht="15.75" customHeight="1">
      <c r="A222" s="58"/>
      <c r="B222" s="58"/>
      <c r="C222" s="58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</row>
    <row r="223" ht="15.75" customHeight="1">
      <c r="A223" s="58"/>
      <c r="B223" s="58"/>
      <c r="C223" s="58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</row>
    <row r="224" ht="15.75" customHeight="1">
      <c r="A224" s="58"/>
      <c r="B224" s="58"/>
      <c r="C224" s="58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</row>
    <row r="225" ht="15.75" customHeight="1">
      <c r="A225" s="58"/>
      <c r="B225" s="58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</row>
    <row r="226" ht="15.75" customHeight="1">
      <c r="A226" s="58"/>
      <c r="B226" s="58"/>
      <c r="C226" s="58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</row>
    <row r="227" ht="15.75" customHeight="1">
      <c r="A227" s="58"/>
      <c r="B227" s="58"/>
      <c r="C227" s="58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</row>
    <row r="228" ht="15.75" customHeight="1">
      <c r="A228" s="58"/>
      <c r="B228" s="58"/>
      <c r="C228" s="58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</row>
    <row r="229" ht="15.75" customHeight="1">
      <c r="A229" s="58"/>
      <c r="B229" s="58"/>
      <c r="C229" s="58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</row>
    <row r="230" ht="15.75" customHeight="1">
      <c r="A230" s="58"/>
      <c r="B230" s="58"/>
      <c r="C230" s="58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</row>
    <row r="231" ht="15.75" customHeight="1">
      <c r="A231" s="58"/>
      <c r="B231" s="58"/>
      <c r="C231" s="58"/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</row>
    <row r="232" ht="15.75" customHeight="1">
      <c r="A232" s="58"/>
      <c r="B232" s="58"/>
      <c r="C232" s="58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</row>
    <row r="233" ht="15.75" customHeight="1">
      <c r="A233" s="58"/>
      <c r="B233" s="58"/>
      <c r="C233" s="58"/>
      <c r="D233" s="58"/>
      <c r="E233" s="58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</row>
    <row r="234" ht="15.75" customHeight="1">
      <c r="A234" s="58"/>
      <c r="B234" s="58"/>
      <c r="C234" s="58"/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</row>
    <row r="235" ht="15.75" customHeight="1">
      <c r="A235" s="58"/>
      <c r="B235" s="58"/>
      <c r="C235" s="58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</row>
    <row r="236" ht="15.75" customHeight="1">
      <c r="A236" s="58"/>
      <c r="B236" s="58"/>
      <c r="C236" s="58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</row>
    <row r="237" ht="15.75" customHeight="1">
      <c r="A237" s="58"/>
      <c r="B237" s="58"/>
      <c r="C237" s="58"/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</row>
    <row r="238" ht="15.75" customHeight="1">
      <c r="A238" s="58"/>
      <c r="B238" s="58"/>
      <c r="C238" s="58"/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</row>
    <row r="239" ht="15.75" customHeight="1">
      <c r="A239" s="58"/>
      <c r="B239" s="58"/>
      <c r="C239" s="58"/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</row>
    <row r="240" ht="15.75" customHeight="1">
      <c r="A240" s="58"/>
      <c r="B240" s="58"/>
      <c r="C240" s="58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</row>
    <row r="241" ht="15.75" customHeight="1">
      <c r="A241" s="58"/>
      <c r="B241" s="58"/>
      <c r="C241" s="58"/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</row>
    <row r="242" ht="15.75" customHeight="1">
      <c r="A242" s="58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</row>
    <row r="243" ht="15.75" customHeight="1">
      <c r="A243" s="58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</row>
    <row r="244" ht="15.75" customHeight="1">
      <c r="A244" s="58"/>
      <c r="B244" s="58"/>
      <c r="C244" s="58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</row>
    <row r="245" ht="15.75" customHeight="1">
      <c r="A245" s="58"/>
      <c r="B245" s="58"/>
      <c r="C245" s="58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</row>
    <row r="246" ht="15.75" customHeight="1">
      <c r="A246" s="58"/>
      <c r="B246" s="58"/>
      <c r="C246" s="58"/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</row>
    <row r="247" ht="15.75" customHeight="1">
      <c r="A247" s="58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</row>
    <row r="248" ht="15.75" customHeight="1">
      <c r="A248" s="58"/>
      <c r="B248" s="58"/>
      <c r="C248" s="58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</row>
    <row r="249" ht="15.75" customHeight="1">
      <c r="A249" s="58"/>
      <c r="B249" s="58"/>
      <c r="C249" s="58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</row>
    <row r="250" ht="15.75" customHeight="1">
      <c r="A250" s="58"/>
      <c r="B250" s="58"/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</row>
    <row r="251" ht="15.75" customHeight="1">
      <c r="A251" s="58"/>
      <c r="B251" s="58"/>
      <c r="C251" s="58"/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</row>
    <row r="252" ht="15.75" customHeight="1">
      <c r="A252" s="58"/>
      <c r="B252" s="58"/>
      <c r="C252" s="58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</row>
    <row r="253" ht="15.75" customHeight="1">
      <c r="A253" s="58"/>
      <c r="B253" s="58"/>
      <c r="C253" s="58"/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</row>
    <row r="254" ht="15.75" customHeight="1">
      <c r="A254" s="58"/>
      <c r="B254" s="58"/>
      <c r="C254" s="58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</row>
    <row r="255" ht="15.75" customHeight="1">
      <c r="A255" s="58"/>
      <c r="B255" s="58"/>
      <c r="C255" s="58"/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</row>
    <row r="256" ht="15.75" customHeight="1">
      <c r="A256" s="58"/>
      <c r="B256" s="58"/>
      <c r="C256" s="58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</row>
    <row r="257" ht="15.75" customHeight="1">
      <c r="A257" s="58"/>
      <c r="B257" s="58"/>
      <c r="C257" s="58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</row>
    <row r="258" ht="15.75" customHeight="1">
      <c r="A258" s="58"/>
      <c r="B258" s="58"/>
      <c r="C258" s="58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</row>
    <row r="259" ht="15.75" customHeight="1">
      <c r="A259" s="58"/>
      <c r="B259" s="58"/>
      <c r="C259" s="58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</row>
    <row r="260" ht="15.75" customHeight="1">
      <c r="A260" s="58"/>
      <c r="B260" s="58"/>
      <c r="C260" s="58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</row>
    <row r="261" ht="15.75" customHeight="1">
      <c r="A261" s="58"/>
      <c r="B261" s="58"/>
      <c r="C261" s="58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</row>
    <row r="262" ht="15.75" customHeight="1">
      <c r="A262" s="58"/>
      <c r="B262" s="58"/>
      <c r="C262" s="58"/>
      <c r="D262" s="58"/>
      <c r="E262" s="58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</row>
    <row r="263" ht="15.75" customHeight="1">
      <c r="A263" s="58"/>
      <c r="B263" s="58"/>
      <c r="C263" s="58"/>
      <c r="D263" s="58"/>
      <c r="E263" s="58"/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</row>
    <row r="264" ht="15.75" customHeight="1">
      <c r="A264" s="58"/>
      <c r="B264" s="58"/>
      <c r="C264" s="58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</row>
    <row r="265" ht="15.75" customHeight="1">
      <c r="A265" s="58"/>
      <c r="B265" s="58"/>
      <c r="C265" s="58"/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</row>
    <row r="266" ht="15.75" customHeight="1">
      <c r="A266" s="58"/>
      <c r="B266" s="58"/>
      <c r="C266" s="58"/>
      <c r="D266" s="58"/>
      <c r="E266" s="58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</row>
    <row r="267" ht="15.75" customHeight="1">
      <c r="A267" s="58"/>
      <c r="B267" s="58"/>
      <c r="C267" s="58"/>
      <c r="D267" s="58"/>
      <c r="E267" s="58"/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</row>
    <row r="268" ht="15.75" customHeight="1">
      <c r="A268" s="58"/>
      <c r="B268" s="58"/>
      <c r="C268" s="58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</row>
    <row r="269" ht="15.75" customHeight="1">
      <c r="A269" s="58"/>
      <c r="B269" s="58"/>
      <c r="C269" s="58"/>
      <c r="D269" s="58"/>
      <c r="E269" s="58"/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</row>
    <row r="270" ht="15.75" customHeight="1">
      <c r="A270" s="58"/>
      <c r="B270" s="58"/>
      <c r="C270" s="58"/>
      <c r="D270" s="58"/>
      <c r="E270" s="58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</row>
    <row r="271" ht="15.75" customHeight="1">
      <c r="A271" s="58"/>
      <c r="B271" s="58"/>
      <c r="C271" s="58"/>
      <c r="D271" s="58"/>
      <c r="E271" s="58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</row>
    <row r="272" ht="15.75" customHeight="1">
      <c r="A272" s="58"/>
      <c r="B272" s="58"/>
      <c r="C272" s="58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</row>
    <row r="273" ht="15.75" customHeight="1">
      <c r="A273" s="58"/>
      <c r="B273" s="58"/>
      <c r="C273" s="58"/>
      <c r="D273" s="58"/>
      <c r="E273" s="58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</row>
    <row r="274" ht="15.75" customHeight="1">
      <c r="A274" s="58"/>
      <c r="B274" s="58"/>
      <c r="C274" s="58"/>
      <c r="D274" s="58"/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</row>
    <row r="275" ht="15.75" customHeight="1">
      <c r="A275" s="58"/>
      <c r="B275" s="58"/>
      <c r="C275" s="58"/>
      <c r="D275" s="58"/>
      <c r="E275" s="58"/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</row>
    <row r="276" ht="15.75" customHeight="1">
      <c r="A276" s="58"/>
      <c r="B276" s="58"/>
      <c r="C276" s="58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</row>
    <row r="277" ht="15.75" customHeight="1">
      <c r="A277" s="58"/>
      <c r="B277" s="58"/>
      <c r="C277" s="58"/>
      <c r="D277" s="58"/>
      <c r="E277" s="58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</row>
    <row r="278" ht="15.75" customHeight="1">
      <c r="A278" s="58"/>
      <c r="B278" s="58"/>
      <c r="C278" s="58"/>
      <c r="D278" s="58"/>
      <c r="E278" s="58"/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</row>
    <row r="279" ht="15.75" customHeight="1">
      <c r="A279" s="58"/>
      <c r="B279" s="58"/>
      <c r="C279" s="58"/>
      <c r="D279" s="58"/>
      <c r="E279" s="58"/>
      <c r="F279" s="58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</row>
    <row r="280" ht="15.75" customHeight="1">
      <c r="A280" s="58"/>
      <c r="B280" s="58"/>
      <c r="C280" s="58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</row>
    <row r="281" ht="15.75" customHeight="1">
      <c r="A281" s="58"/>
      <c r="B281" s="58"/>
      <c r="C281" s="58"/>
      <c r="D281" s="58"/>
      <c r="E281" s="58"/>
      <c r="F281" s="58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</row>
    <row r="282" ht="15.75" customHeight="1">
      <c r="A282" s="58"/>
      <c r="B282" s="58"/>
      <c r="C282" s="58"/>
      <c r="D282" s="58"/>
      <c r="E282" s="58"/>
      <c r="F282" s="58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</row>
    <row r="283" ht="15.75" customHeight="1">
      <c r="A283" s="58"/>
      <c r="B283" s="58"/>
      <c r="C283" s="58"/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</row>
    <row r="284" ht="15.75" customHeight="1">
      <c r="A284" s="58"/>
      <c r="B284" s="58"/>
      <c r="C284" s="58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</row>
    <row r="285" ht="15.75" customHeight="1">
      <c r="A285" s="58"/>
      <c r="B285" s="58"/>
      <c r="C285" s="58"/>
      <c r="D285" s="58"/>
      <c r="E285" s="58"/>
      <c r="F285" s="58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</row>
    <row r="286" ht="15.75" customHeight="1">
      <c r="A286" s="58"/>
      <c r="B286" s="58"/>
      <c r="C286" s="58"/>
      <c r="D286" s="58"/>
      <c r="E286" s="58"/>
      <c r="F286" s="58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</row>
    <row r="287" ht="15.75" customHeight="1">
      <c r="A287" s="58"/>
      <c r="B287" s="58"/>
      <c r="C287" s="58"/>
      <c r="D287" s="58"/>
      <c r="E287" s="58"/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</row>
    <row r="288" ht="15.75" customHeight="1">
      <c r="A288" s="58"/>
      <c r="B288" s="58"/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</row>
    <row r="289" ht="15.75" customHeight="1">
      <c r="A289" s="58"/>
      <c r="B289" s="58"/>
      <c r="C289" s="58"/>
      <c r="D289" s="58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</row>
    <row r="290" ht="15.75" customHeight="1">
      <c r="A290" s="58"/>
      <c r="B290" s="58"/>
      <c r="C290" s="58"/>
      <c r="D290" s="58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</row>
    <row r="291" ht="15.75" customHeight="1">
      <c r="A291" s="58"/>
      <c r="B291" s="58"/>
      <c r="C291" s="58"/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</row>
    <row r="292" ht="15.75" customHeight="1">
      <c r="A292" s="58"/>
      <c r="B292" s="58"/>
      <c r="C292" s="58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</row>
    <row r="293" ht="15.75" customHeight="1">
      <c r="A293" s="58"/>
      <c r="B293" s="58"/>
      <c r="C293" s="58"/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</row>
    <row r="294" ht="15.75" customHeight="1">
      <c r="A294" s="58"/>
      <c r="B294" s="58"/>
      <c r="C294" s="58"/>
      <c r="D294" s="58"/>
      <c r="E294" s="58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</row>
    <row r="295" ht="15.75" customHeight="1">
      <c r="A295" s="58"/>
      <c r="B295" s="58"/>
      <c r="C295" s="58"/>
      <c r="D295" s="58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</row>
    <row r="296" ht="15.75" customHeight="1">
      <c r="A296" s="58"/>
      <c r="B296" s="58"/>
      <c r="C296" s="58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</row>
    <row r="297" ht="15.75" customHeight="1">
      <c r="A297" s="58"/>
      <c r="B297" s="58"/>
      <c r="C297" s="58"/>
      <c r="D297" s="58"/>
      <c r="E297" s="58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</row>
    <row r="298" ht="15.75" customHeight="1">
      <c r="A298" s="58"/>
      <c r="B298" s="58"/>
      <c r="C298" s="58"/>
      <c r="D298" s="58"/>
      <c r="E298" s="58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</row>
    <row r="299" ht="15.75" customHeight="1">
      <c r="A299" s="58"/>
      <c r="B299" s="58"/>
      <c r="C299" s="58"/>
      <c r="D299" s="58"/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</row>
    <row r="300" ht="15.75" customHeight="1">
      <c r="A300" s="58"/>
      <c r="B300" s="58"/>
      <c r="C300" s="58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</row>
    <row r="301" ht="15.75" customHeight="1">
      <c r="A301" s="58"/>
      <c r="B301" s="58"/>
      <c r="C301" s="58"/>
      <c r="D301" s="58"/>
      <c r="E301" s="58"/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</row>
    <row r="302" ht="15.75" customHeight="1">
      <c r="A302" s="58"/>
      <c r="B302" s="58"/>
      <c r="C302" s="58"/>
      <c r="D302" s="58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</row>
    <row r="303" ht="15.75" customHeight="1">
      <c r="A303" s="58"/>
      <c r="B303" s="58"/>
      <c r="C303" s="58"/>
      <c r="D303" s="58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</row>
    <row r="304" ht="15.75" customHeight="1">
      <c r="A304" s="58"/>
      <c r="B304" s="58"/>
      <c r="C304" s="58"/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</row>
    <row r="305" ht="15.75" customHeight="1">
      <c r="A305" s="58"/>
      <c r="B305" s="58"/>
      <c r="C305" s="58"/>
      <c r="D305" s="58"/>
      <c r="E305" s="58"/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</row>
    <row r="306" ht="15.75" customHeight="1">
      <c r="A306" s="58"/>
      <c r="B306" s="58"/>
      <c r="C306" s="58"/>
      <c r="D306" s="58"/>
      <c r="E306" s="58"/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</row>
    <row r="307" ht="15.75" customHeight="1">
      <c r="A307" s="58"/>
      <c r="B307" s="58"/>
      <c r="C307" s="58"/>
      <c r="D307" s="58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</row>
    <row r="308" ht="15.75" customHeight="1">
      <c r="A308" s="58"/>
      <c r="B308" s="58"/>
      <c r="C308" s="58"/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</row>
    <row r="309" ht="15.75" customHeight="1">
      <c r="A309" s="58"/>
      <c r="B309" s="58"/>
      <c r="C309" s="58"/>
      <c r="D309" s="58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</row>
    <row r="310" ht="15.75" customHeight="1">
      <c r="A310" s="58"/>
      <c r="B310" s="58"/>
      <c r="C310" s="58"/>
      <c r="D310" s="58"/>
      <c r="E310" s="58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</row>
    <row r="311" ht="15.75" customHeight="1">
      <c r="A311" s="58"/>
      <c r="B311" s="58"/>
      <c r="C311" s="58"/>
      <c r="D311" s="58"/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</row>
    <row r="312" ht="15.75" customHeight="1">
      <c r="A312" s="58"/>
      <c r="B312" s="58"/>
      <c r="C312" s="58"/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</row>
    <row r="313" ht="15.75" customHeight="1">
      <c r="A313" s="58"/>
      <c r="B313" s="58"/>
      <c r="C313" s="58"/>
      <c r="D313" s="58"/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</row>
    <row r="314" ht="15.75" customHeight="1">
      <c r="A314" s="58"/>
      <c r="B314" s="58"/>
      <c r="C314" s="58"/>
      <c r="D314" s="58"/>
      <c r="E314" s="58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</row>
    <row r="315" ht="15.75" customHeight="1">
      <c r="A315" s="58"/>
      <c r="B315" s="58"/>
      <c r="C315" s="58"/>
      <c r="D315" s="58"/>
      <c r="E315" s="58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</row>
    <row r="316" ht="15.75" customHeight="1">
      <c r="A316" s="58"/>
      <c r="B316" s="58"/>
      <c r="C316" s="58"/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</row>
    <row r="317" ht="15.75" customHeight="1">
      <c r="A317" s="58"/>
      <c r="B317" s="58"/>
      <c r="C317" s="58"/>
      <c r="D317" s="58"/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</row>
    <row r="318" ht="15.75" customHeight="1">
      <c r="A318" s="58"/>
      <c r="B318" s="58"/>
      <c r="C318" s="58"/>
      <c r="D318" s="58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</row>
    <row r="319" ht="15.75" customHeight="1">
      <c r="A319" s="58"/>
      <c r="B319" s="58"/>
      <c r="C319" s="58"/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</row>
    <row r="320" ht="15.75" customHeight="1">
      <c r="A320" s="58"/>
      <c r="B320" s="58"/>
      <c r="C320" s="58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</row>
    <row r="321" ht="15.75" customHeight="1">
      <c r="A321" s="58"/>
      <c r="B321" s="58"/>
      <c r="C321" s="58"/>
      <c r="D321" s="58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</row>
    <row r="322" ht="15.75" customHeight="1">
      <c r="A322" s="58"/>
      <c r="B322" s="58"/>
      <c r="C322" s="58"/>
      <c r="D322" s="58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</row>
    <row r="323" ht="15.75" customHeight="1">
      <c r="A323" s="58"/>
      <c r="B323" s="58"/>
      <c r="C323" s="58"/>
      <c r="D323" s="58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</row>
    <row r="324" ht="15.75" customHeight="1">
      <c r="A324" s="58"/>
      <c r="B324" s="58"/>
      <c r="C324" s="58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</row>
    <row r="325" ht="15.75" customHeight="1">
      <c r="A325" s="58"/>
      <c r="B325" s="58"/>
      <c r="C325" s="58"/>
      <c r="D325" s="58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</row>
    <row r="326" ht="15.75" customHeight="1">
      <c r="A326" s="58"/>
      <c r="B326" s="58"/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</row>
    <row r="327" ht="15.75" customHeight="1">
      <c r="A327" s="58"/>
      <c r="B327" s="58"/>
      <c r="C327" s="58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</row>
    <row r="328" ht="15.75" customHeight="1">
      <c r="A328" s="58"/>
      <c r="B328" s="58"/>
      <c r="C328" s="58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</row>
    <row r="329" ht="15.75" customHeight="1">
      <c r="A329" s="58"/>
      <c r="B329" s="58"/>
      <c r="C329" s="58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</row>
    <row r="330" ht="15.75" customHeight="1">
      <c r="A330" s="58"/>
      <c r="B330" s="58"/>
      <c r="C330" s="58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</row>
    <row r="331" ht="15.75" customHeight="1">
      <c r="A331" s="58"/>
      <c r="B331" s="58"/>
      <c r="C331" s="58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</row>
    <row r="332" ht="15.75" customHeight="1">
      <c r="A332" s="58"/>
      <c r="B332" s="58"/>
      <c r="C332" s="58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</row>
    <row r="333" ht="15.75" customHeight="1">
      <c r="A333" s="58"/>
      <c r="B333" s="58"/>
      <c r="C333" s="58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</row>
    <row r="334" ht="15.75" customHeight="1">
      <c r="A334" s="58"/>
      <c r="B334" s="58"/>
      <c r="C334" s="58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</row>
    <row r="335" ht="15.75" customHeight="1">
      <c r="A335" s="58"/>
      <c r="B335" s="58"/>
      <c r="C335" s="58"/>
      <c r="D335" s="58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</row>
    <row r="336" ht="15.75" customHeight="1">
      <c r="A336" s="58"/>
      <c r="B336" s="58"/>
      <c r="C336" s="58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</row>
    <row r="337" ht="15.75" customHeight="1">
      <c r="A337" s="58"/>
      <c r="B337" s="58"/>
      <c r="C337" s="58"/>
      <c r="D337" s="58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</row>
    <row r="338" ht="15.75" customHeight="1">
      <c r="A338" s="58"/>
      <c r="B338" s="58"/>
      <c r="C338" s="58"/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</row>
    <row r="339" ht="15.75" customHeight="1">
      <c r="A339" s="58"/>
      <c r="B339" s="58"/>
      <c r="C339" s="58"/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</row>
    <row r="340" ht="15.75" customHeight="1">
      <c r="A340" s="58"/>
      <c r="B340" s="58"/>
      <c r="C340" s="58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</row>
    <row r="341" ht="15.75" customHeight="1">
      <c r="A341" s="58"/>
      <c r="B341" s="58"/>
      <c r="C341" s="58"/>
      <c r="D341" s="58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</row>
    <row r="342" ht="15.75" customHeight="1">
      <c r="A342" s="58"/>
      <c r="B342" s="58"/>
      <c r="C342" s="58"/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</row>
    <row r="343" ht="15.75" customHeight="1">
      <c r="A343" s="58"/>
      <c r="B343" s="58"/>
      <c r="C343" s="58"/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</row>
    <row r="344" ht="15.75" customHeight="1">
      <c r="A344" s="58"/>
      <c r="B344" s="58"/>
      <c r="C344" s="58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</row>
    <row r="345" ht="15.75" customHeight="1">
      <c r="A345" s="58"/>
      <c r="B345" s="58"/>
      <c r="C345" s="58"/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</row>
    <row r="346" ht="15.75" customHeight="1">
      <c r="A346" s="58"/>
      <c r="B346" s="58"/>
      <c r="C346" s="58"/>
      <c r="D346" s="58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</row>
    <row r="347" ht="15.75" customHeight="1">
      <c r="A347" s="58"/>
      <c r="B347" s="58"/>
      <c r="C347" s="58"/>
      <c r="D347" s="58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</row>
    <row r="348" ht="15.75" customHeight="1">
      <c r="A348" s="58"/>
      <c r="B348" s="58"/>
      <c r="C348" s="58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</row>
    <row r="349" ht="15.75" customHeight="1">
      <c r="A349" s="58"/>
      <c r="B349" s="58"/>
      <c r="C349" s="58"/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</row>
    <row r="350" ht="15.75" customHeight="1">
      <c r="A350" s="58"/>
      <c r="B350" s="58"/>
      <c r="C350" s="58"/>
      <c r="D350" s="58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</row>
    <row r="351" ht="15.75" customHeight="1">
      <c r="A351" s="58"/>
      <c r="B351" s="58"/>
      <c r="C351" s="58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</row>
    <row r="352" ht="15.75" customHeight="1">
      <c r="A352" s="58"/>
      <c r="B352" s="58"/>
      <c r="C352" s="58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</row>
    <row r="353" ht="15.75" customHeight="1">
      <c r="A353" s="58"/>
      <c r="B353" s="58"/>
      <c r="C353" s="58"/>
      <c r="D353" s="58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</row>
    <row r="354" ht="15.75" customHeight="1">
      <c r="A354" s="58"/>
      <c r="B354" s="58"/>
      <c r="C354" s="58"/>
      <c r="D354" s="58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</row>
    <row r="355" ht="15.75" customHeight="1">
      <c r="A355" s="58"/>
      <c r="B355" s="58"/>
      <c r="C355" s="58"/>
      <c r="D355" s="58"/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</row>
    <row r="356" ht="15.75" customHeight="1">
      <c r="A356" s="58"/>
      <c r="B356" s="58"/>
      <c r="C356" s="58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</row>
    <row r="357" ht="15.75" customHeight="1">
      <c r="A357" s="58"/>
      <c r="B357" s="58"/>
      <c r="C357" s="58"/>
      <c r="D357" s="58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</row>
    <row r="358" ht="15.75" customHeight="1">
      <c r="A358" s="58"/>
      <c r="B358" s="58"/>
      <c r="C358" s="58"/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</row>
    <row r="359" ht="15.75" customHeight="1">
      <c r="A359" s="58"/>
      <c r="B359" s="58"/>
      <c r="C359" s="58"/>
      <c r="D359" s="58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</row>
    <row r="360" ht="15.75" customHeight="1">
      <c r="A360" s="58"/>
      <c r="B360" s="58"/>
      <c r="C360" s="58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</row>
    <row r="361" ht="15.75" customHeight="1">
      <c r="A361" s="58"/>
      <c r="B361" s="58"/>
      <c r="C361" s="58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</row>
    <row r="362" ht="15.75" customHeight="1">
      <c r="A362" s="58"/>
      <c r="B362" s="58"/>
      <c r="C362" s="58"/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</row>
    <row r="363" ht="15.75" customHeight="1">
      <c r="A363" s="58"/>
      <c r="B363" s="58"/>
      <c r="C363" s="58"/>
      <c r="D363" s="58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</row>
    <row r="364" ht="15.75" customHeight="1">
      <c r="A364" s="58"/>
      <c r="B364" s="58"/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</row>
    <row r="365" ht="15.75" customHeight="1">
      <c r="A365" s="58"/>
      <c r="B365" s="58"/>
      <c r="C365" s="58"/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</row>
    <row r="366" ht="15.75" customHeight="1">
      <c r="A366" s="58"/>
      <c r="B366" s="58"/>
      <c r="C366" s="58"/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</row>
    <row r="367" ht="15.75" customHeight="1">
      <c r="A367" s="58"/>
      <c r="B367" s="58"/>
      <c r="C367" s="58"/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</row>
    <row r="368" ht="15.75" customHeight="1">
      <c r="A368" s="58"/>
      <c r="B368" s="58"/>
      <c r="C368" s="58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</row>
    <row r="369" ht="15.75" customHeight="1">
      <c r="A369" s="58"/>
      <c r="B369" s="58"/>
      <c r="C369" s="58"/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</row>
    <row r="370" ht="15.75" customHeight="1">
      <c r="A370" s="58"/>
      <c r="B370" s="58"/>
      <c r="C370" s="58"/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</row>
    <row r="371" ht="15.75" customHeight="1">
      <c r="A371" s="58"/>
      <c r="B371" s="58"/>
      <c r="C371" s="58"/>
      <c r="D371" s="58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</row>
    <row r="372" ht="15.75" customHeight="1">
      <c r="A372" s="58"/>
      <c r="B372" s="58"/>
      <c r="C372" s="58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</row>
    <row r="373" ht="15.75" customHeight="1">
      <c r="A373" s="58"/>
      <c r="B373" s="58"/>
      <c r="C373" s="58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</row>
    <row r="374" ht="15.75" customHeight="1">
      <c r="A374" s="58"/>
      <c r="B374" s="58"/>
      <c r="C374" s="58"/>
      <c r="D374" s="58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</row>
    <row r="375" ht="15.75" customHeight="1">
      <c r="A375" s="58"/>
      <c r="B375" s="58"/>
      <c r="C375" s="58"/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</row>
    <row r="376" ht="15.75" customHeight="1">
      <c r="A376" s="58"/>
      <c r="B376" s="58"/>
      <c r="C376" s="58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</row>
    <row r="377" ht="15.75" customHeight="1">
      <c r="A377" s="58"/>
      <c r="B377" s="58"/>
      <c r="C377" s="58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</row>
    <row r="378" ht="15.75" customHeight="1">
      <c r="A378" s="58"/>
      <c r="B378" s="58"/>
      <c r="C378" s="58"/>
      <c r="D378" s="58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</row>
    <row r="379" ht="15.75" customHeight="1">
      <c r="A379" s="58"/>
      <c r="B379" s="58"/>
      <c r="C379" s="58"/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</row>
    <row r="380" ht="15.75" customHeight="1">
      <c r="A380" s="58"/>
      <c r="B380" s="58"/>
      <c r="C380" s="58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</row>
    <row r="381" ht="15.75" customHeight="1">
      <c r="A381" s="58"/>
      <c r="B381" s="58"/>
      <c r="C381" s="58"/>
      <c r="D381" s="58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</row>
    <row r="382" ht="15.75" customHeight="1">
      <c r="A382" s="58"/>
      <c r="B382" s="58"/>
      <c r="C382" s="58"/>
      <c r="D382" s="58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</row>
    <row r="383" ht="15.75" customHeight="1">
      <c r="A383" s="58"/>
      <c r="B383" s="58"/>
      <c r="C383" s="58"/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</row>
    <row r="384" ht="15.75" customHeight="1">
      <c r="A384" s="58"/>
      <c r="B384" s="58"/>
      <c r="C384" s="58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</row>
    <row r="385" ht="15.75" customHeight="1">
      <c r="A385" s="58"/>
      <c r="B385" s="58"/>
      <c r="C385" s="58"/>
      <c r="D385" s="58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</row>
    <row r="386" ht="15.75" customHeight="1">
      <c r="A386" s="58"/>
      <c r="B386" s="58"/>
      <c r="C386" s="58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</row>
    <row r="387" ht="15.75" customHeight="1">
      <c r="A387" s="58"/>
      <c r="B387" s="58"/>
      <c r="C387" s="58"/>
      <c r="D387" s="58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</row>
    <row r="388" ht="15.75" customHeight="1">
      <c r="A388" s="58"/>
      <c r="B388" s="58"/>
      <c r="C388" s="58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</row>
    <row r="389" ht="15.75" customHeight="1">
      <c r="A389" s="58"/>
      <c r="B389" s="58"/>
      <c r="C389" s="58"/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</row>
    <row r="390" ht="15.75" customHeight="1">
      <c r="A390" s="58"/>
      <c r="B390" s="58"/>
      <c r="C390" s="58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</row>
    <row r="391" ht="15.75" customHeight="1">
      <c r="A391" s="58"/>
      <c r="B391" s="58"/>
      <c r="C391" s="58"/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</row>
    <row r="392" ht="15.75" customHeight="1">
      <c r="A392" s="58"/>
      <c r="B392" s="58"/>
      <c r="C392" s="58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</row>
    <row r="393" ht="15.75" customHeight="1">
      <c r="A393" s="58"/>
      <c r="B393" s="58"/>
      <c r="C393" s="58"/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</row>
    <row r="394" ht="15.75" customHeight="1">
      <c r="A394" s="58"/>
      <c r="B394" s="58"/>
      <c r="C394" s="58"/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</row>
    <row r="395" ht="15.75" customHeight="1">
      <c r="A395" s="58"/>
      <c r="B395" s="58"/>
      <c r="C395" s="58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</row>
    <row r="396" ht="15.75" customHeight="1">
      <c r="A396" s="58"/>
      <c r="B396" s="58"/>
      <c r="C396" s="58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</row>
    <row r="397" ht="15.75" customHeight="1">
      <c r="A397" s="58"/>
      <c r="B397" s="58"/>
      <c r="C397" s="58"/>
      <c r="D397" s="58"/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</row>
    <row r="398" ht="15.75" customHeight="1">
      <c r="A398" s="58"/>
      <c r="B398" s="58"/>
      <c r="C398" s="58"/>
      <c r="D398" s="58"/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</row>
    <row r="399" ht="15.75" customHeight="1">
      <c r="A399" s="58"/>
      <c r="B399" s="58"/>
      <c r="C399" s="58"/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</row>
    <row r="400" ht="15.75" customHeight="1">
      <c r="A400" s="58"/>
      <c r="B400" s="58"/>
      <c r="C400" s="58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</row>
    <row r="401" ht="15.75" customHeight="1">
      <c r="A401" s="58"/>
      <c r="B401" s="58"/>
      <c r="C401" s="58"/>
      <c r="D401" s="58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</row>
    <row r="402" ht="15.75" customHeight="1">
      <c r="A402" s="58"/>
      <c r="B402" s="58"/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</row>
    <row r="403" ht="15.75" customHeight="1">
      <c r="A403" s="58"/>
      <c r="B403" s="58"/>
      <c r="C403" s="58"/>
      <c r="D403" s="58"/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</row>
    <row r="404" ht="15.75" customHeight="1">
      <c r="A404" s="58"/>
      <c r="B404" s="58"/>
      <c r="C404" s="58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</row>
    <row r="405" ht="15.75" customHeight="1">
      <c r="A405" s="58"/>
      <c r="B405" s="58"/>
      <c r="C405" s="58"/>
      <c r="D405" s="58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</row>
    <row r="406" ht="15.75" customHeight="1">
      <c r="A406" s="58"/>
      <c r="B406" s="58"/>
      <c r="C406" s="58"/>
      <c r="D406" s="58"/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</row>
    <row r="407" ht="15.75" customHeight="1">
      <c r="A407" s="58"/>
      <c r="B407" s="58"/>
      <c r="C407" s="58"/>
      <c r="D407" s="58"/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</row>
    <row r="408" ht="15.75" customHeight="1">
      <c r="A408" s="58"/>
      <c r="B408" s="58"/>
      <c r="C408" s="58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</row>
    <row r="409" ht="15.75" customHeight="1">
      <c r="A409" s="58"/>
      <c r="B409" s="58"/>
      <c r="C409" s="58"/>
      <c r="D409" s="58"/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</row>
    <row r="410" ht="15.75" customHeight="1">
      <c r="A410" s="58"/>
      <c r="B410" s="58"/>
      <c r="C410" s="58"/>
      <c r="D410" s="58"/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</row>
    <row r="411" ht="15.75" customHeight="1">
      <c r="A411" s="58"/>
      <c r="B411" s="58"/>
      <c r="C411" s="58"/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</row>
    <row r="412" ht="15.75" customHeight="1">
      <c r="A412" s="58"/>
      <c r="B412" s="58"/>
      <c r="C412" s="58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</row>
    <row r="413" ht="15.75" customHeight="1">
      <c r="A413" s="58"/>
      <c r="B413" s="58"/>
      <c r="C413" s="58"/>
      <c r="D413" s="58"/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</row>
    <row r="414" ht="15.75" customHeight="1">
      <c r="A414" s="58"/>
      <c r="B414" s="58"/>
      <c r="C414" s="58"/>
      <c r="D414" s="58"/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</row>
    <row r="415" ht="15.75" customHeight="1">
      <c r="A415" s="58"/>
      <c r="B415" s="58"/>
      <c r="C415" s="58"/>
      <c r="D415" s="58"/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</row>
    <row r="416" ht="15.75" customHeight="1">
      <c r="A416" s="58"/>
      <c r="B416" s="58"/>
      <c r="C416" s="58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</row>
    <row r="417" ht="15.75" customHeight="1">
      <c r="A417" s="58"/>
      <c r="B417" s="58"/>
      <c r="C417" s="58"/>
      <c r="D417" s="58"/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</row>
    <row r="418" ht="15.75" customHeight="1">
      <c r="A418" s="58"/>
      <c r="B418" s="58"/>
      <c r="C418" s="58"/>
      <c r="D418" s="58"/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</row>
    <row r="419" ht="15.75" customHeight="1">
      <c r="A419" s="58"/>
      <c r="B419" s="58"/>
      <c r="C419" s="58"/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</row>
    <row r="420" ht="15.75" customHeight="1">
      <c r="A420" s="58"/>
      <c r="B420" s="58"/>
      <c r="C420" s="58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</row>
    <row r="421" ht="15.75" customHeight="1">
      <c r="A421" s="58"/>
      <c r="B421" s="58"/>
      <c r="C421" s="58"/>
      <c r="D421" s="58"/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</row>
    <row r="422" ht="15.75" customHeight="1">
      <c r="A422" s="58"/>
      <c r="B422" s="58"/>
      <c r="C422" s="58"/>
      <c r="D422" s="58"/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</row>
    <row r="423" ht="15.75" customHeight="1">
      <c r="A423" s="58"/>
      <c r="B423" s="58"/>
      <c r="C423" s="58"/>
      <c r="D423" s="58"/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</row>
    <row r="424" ht="15.75" customHeight="1">
      <c r="A424" s="58"/>
      <c r="B424" s="58"/>
      <c r="C424" s="58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</row>
    <row r="425" ht="15.75" customHeight="1">
      <c r="A425" s="58"/>
      <c r="B425" s="58"/>
      <c r="C425" s="58"/>
      <c r="D425" s="58"/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</row>
    <row r="426" ht="15.75" customHeight="1">
      <c r="A426" s="58"/>
      <c r="B426" s="58"/>
      <c r="C426" s="58"/>
      <c r="D426" s="58"/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</row>
    <row r="427" ht="15.75" customHeight="1">
      <c r="A427" s="58"/>
      <c r="B427" s="58"/>
      <c r="C427" s="58"/>
      <c r="D427" s="58"/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</row>
    <row r="428" ht="15.75" customHeight="1">
      <c r="A428" s="58"/>
      <c r="B428" s="58"/>
      <c r="C428" s="58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</row>
    <row r="429" ht="15.75" customHeight="1">
      <c r="A429" s="58"/>
      <c r="B429" s="58"/>
      <c r="C429" s="58"/>
      <c r="D429" s="58"/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</row>
    <row r="430" ht="15.75" customHeight="1">
      <c r="A430" s="58"/>
      <c r="B430" s="58"/>
      <c r="C430" s="58"/>
      <c r="D430" s="58"/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</row>
    <row r="431" ht="15.75" customHeight="1">
      <c r="A431" s="58"/>
      <c r="B431" s="58"/>
      <c r="C431" s="58"/>
      <c r="D431" s="58"/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</row>
    <row r="432" ht="15.75" customHeight="1">
      <c r="A432" s="58"/>
      <c r="B432" s="58"/>
      <c r="C432" s="58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</row>
    <row r="433" ht="15.75" customHeight="1">
      <c r="A433" s="58"/>
      <c r="B433" s="58"/>
      <c r="C433" s="58"/>
      <c r="D433" s="58"/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</row>
    <row r="434" ht="15.75" customHeight="1">
      <c r="A434" s="58"/>
      <c r="B434" s="58"/>
      <c r="C434" s="58"/>
      <c r="D434" s="58"/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</row>
    <row r="435" ht="15.75" customHeight="1">
      <c r="A435" s="58"/>
      <c r="B435" s="58"/>
      <c r="C435" s="58"/>
      <c r="D435" s="58"/>
      <c r="E435" s="58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</row>
    <row r="436" ht="15.75" customHeight="1">
      <c r="A436" s="58"/>
      <c r="B436" s="58"/>
      <c r="C436" s="58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</row>
    <row r="437" ht="15.75" customHeight="1">
      <c r="A437" s="58"/>
      <c r="B437" s="58"/>
      <c r="C437" s="58"/>
      <c r="D437" s="58"/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</row>
    <row r="438" ht="15.75" customHeight="1">
      <c r="A438" s="58"/>
      <c r="B438" s="58"/>
      <c r="C438" s="58"/>
      <c r="D438" s="58"/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</row>
    <row r="439" ht="15.75" customHeight="1">
      <c r="A439" s="58"/>
      <c r="B439" s="58"/>
      <c r="C439" s="58"/>
      <c r="D439" s="58"/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</row>
    <row r="440" ht="15.75" customHeight="1">
      <c r="A440" s="58"/>
      <c r="B440" s="58"/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</row>
    <row r="441" ht="15.75" customHeight="1">
      <c r="A441" s="58"/>
      <c r="B441" s="58"/>
      <c r="C441" s="58"/>
      <c r="D441" s="58"/>
      <c r="E441" s="58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</row>
    <row r="442" ht="15.75" customHeight="1">
      <c r="A442" s="58"/>
      <c r="B442" s="58"/>
      <c r="C442" s="58"/>
      <c r="D442" s="58"/>
      <c r="E442" s="58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</row>
    <row r="443" ht="15.75" customHeight="1">
      <c r="A443" s="58"/>
      <c r="B443" s="58"/>
      <c r="C443" s="58"/>
      <c r="D443" s="58"/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</row>
    <row r="444" ht="15.75" customHeight="1">
      <c r="A444" s="58"/>
      <c r="B444" s="58"/>
      <c r="C444" s="58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</row>
    <row r="445" ht="15.75" customHeight="1">
      <c r="A445" s="58"/>
      <c r="B445" s="58"/>
      <c r="C445" s="58"/>
      <c r="D445" s="58"/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</row>
    <row r="446" ht="15.75" customHeight="1">
      <c r="A446" s="58"/>
      <c r="B446" s="58"/>
      <c r="C446" s="58"/>
      <c r="D446" s="58"/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</row>
    <row r="447" ht="15.75" customHeight="1">
      <c r="A447" s="58"/>
      <c r="B447" s="58"/>
      <c r="C447" s="58"/>
      <c r="D447" s="58"/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</row>
    <row r="448" ht="15.75" customHeight="1">
      <c r="A448" s="58"/>
      <c r="B448" s="58"/>
      <c r="C448" s="58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</row>
    <row r="449" ht="15.75" customHeight="1">
      <c r="A449" s="58"/>
      <c r="B449" s="58"/>
      <c r="C449" s="58"/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</row>
    <row r="450" ht="15.75" customHeight="1">
      <c r="A450" s="58"/>
      <c r="B450" s="58"/>
      <c r="C450" s="58"/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</row>
    <row r="451" ht="15.75" customHeight="1">
      <c r="A451" s="58"/>
      <c r="B451" s="58"/>
      <c r="C451" s="58"/>
      <c r="D451" s="58"/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</row>
    <row r="452" ht="15.75" customHeight="1">
      <c r="A452" s="58"/>
      <c r="B452" s="58"/>
      <c r="C452" s="58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</row>
    <row r="453" ht="15.75" customHeight="1">
      <c r="A453" s="58"/>
      <c r="B453" s="58"/>
      <c r="C453" s="58"/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</row>
    <row r="454" ht="15.75" customHeight="1">
      <c r="A454" s="58"/>
      <c r="B454" s="58"/>
      <c r="C454" s="58"/>
      <c r="D454" s="58"/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</row>
    <row r="455" ht="15.75" customHeight="1">
      <c r="A455" s="58"/>
      <c r="B455" s="58"/>
      <c r="C455" s="58"/>
      <c r="D455" s="58"/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</row>
    <row r="456" ht="15.75" customHeight="1">
      <c r="A456" s="58"/>
      <c r="B456" s="58"/>
      <c r="C456" s="58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</row>
    <row r="457" ht="15.75" customHeight="1">
      <c r="A457" s="58"/>
      <c r="B457" s="58"/>
      <c r="C457" s="58"/>
      <c r="D457" s="58"/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</row>
    <row r="458" ht="15.75" customHeight="1">
      <c r="A458" s="58"/>
      <c r="B458" s="58"/>
      <c r="C458" s="58"/>
      <c r="D458" s="58"/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</row>
    <row r="459" ht="15.75" customHeight="1">
      <c r="A459" s="58"/>
      <c r="B459" s="58"/>
      <c r="C459" s="58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</row>
    <row r="460" ht="15.75" customHeight="1">
      <c r="A460" s="58"/>
      <c r="B460" s="58"/>
      <c r="C460" s="58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</row>
    <row r="461" ht="15.75" customHeight="1">
      <c r="A461" s="58"/>
      <c r="B461" s="58"/>
      <c r="C461" s="58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</row>
    <row r="462" ht="15.75" customHeight="1">
      <c r="A462" s="58"/>
      <c r="B462" s="58"/>
      <c r="C462" s="58"/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</row>
    <row r="463" ht="15.75" customHeight="1">
      <c r="A463" s="58"/>
      <c r="B463" s="58"/>
      <c r="C463" s="58"/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</row>
    <row r="464" ht="15.75" customHeight="1">
      <c r="A464" s="58"/>
      <c r="B464" s="58"/>
      <c r="C464" s="58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</row>
    <row r="465" ht="15.75" customHeight="1">
      <c r="A465" s="58"/>
      <c r="B465" s="58"/>
      <c r="C465" s="58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</row>
    <row r="466" ht="15.75" customHeight="1">
      <c r="A466" s="58"/>
      <c r="B466" s="58"/>
      <c r="C466" s="58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</row>
    <row r="467" ht="15.75" customHeight="1">
      <c r="A467" s="58"/>
      <c r="B467" s="58"/>
      <c r="C467" s="58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</row>
    <row r="468" ht="15.75" customHeight="1">
      <c r="A468" s="58"/>
      <c r="B468" s="58"/>
      <c r="C468" s="58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</row>
    <row r="469" ht="15.75" customHeight="1">
      <c r="A469" s="58"/>
      <c r="B469" s="58"/>
      <c r="C469" s="58"/>
      <c r="D469" s="58"/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</row>
    <row r="470" ht="15.75" customHeight="1">
      <c r="A470" s="58"/>
      <c r="B470" s="58"/>
      <c r="C470" s="58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</row>
    <row r="471" ht="15.75" customHeight="1">
      <c r="A471" s="58"/>
      <c r="B471" s="58"/>
      <c r="C471" s="58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</row>
    <row r="472" ht="15.75" customHeight="1">
      <c r="A472" s="58"/>
      <c r="B472" s="58"/>
      <c r="C472" s="58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</row>
    <row r="473" ht="15.75" customHeight="1">
      <c r="A473" s="58"/>
      <c r="B473" s="58"/>
      <c r="C473" s="58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</row>
    <row r="474" ht="15.75" customHeight="1">
      <c r="A474" s="58"/>
      <c r="B474" s="58"/>
      <c r="C474" s="58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</row>
    <row r="475" ht="15.75" customHeight="1">
      <c r="A475" s="58"/>
      <c r="B475" s="58"/>
      <c r="C475" s="58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</row>
    <row r="476" ht="15.75" customHeight="1">
      <c r="A476" s="58"/>
      <c r="B476" s="58"/>
      <c r="C476" s="58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</row>
    <row r="477" ht="15.75" customHeight="1">
      <c r="A477" s="58"/>
      <c r="B477" s="58"/>
      <c r="C477" s="58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</row>
    <row r="478" ht="15.75" customHeight="1">
      <c r="A478" s="58"/>
      <c r="B478" s="58"/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</row>
    <row r="479" ht="15.75" customHeight="1">
      <c r="A479" s="58"/>
      <c r="B479" s="58"/>
      <c r="C479" s="58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</row>
    <row r="480" ht="15.75" customHeight="1">
      <c r="A480" s="58"/>
      <c r="B480" s="58"/>
      <c r="C480" s="58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</row>
    <row r="481" ht="15.75" customHeight="1">
      <c r="A481" s="58"/>
      <c r="B481" s="58"/>
      <c r="C481" s="58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</row>
    <row r="482" ht="15.75" customHeight="1">
      <c r="A482" s="58"/>
      <c r="B482" s="58"/>
      <c r="C482" s="58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</row>
    <row r="483" ht="15.75" customHeight="1">
      <c r="A483" s="58"/>
      <c r="B483" s="58"/>
      <c r="C483" s="58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</row>
    <row r="484" ht="15.75" customHeight="1">
      <c r="A484" s="58"/>
      <c r="B484" s="58"/>
      <c r="C484" s="58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</row>
    <row r="485" ht="15.75" customHeight="1">
      <c r="A485" s="58"/>
      <c r="B485" s="58"/>
      <c r="C485" s="58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</row>
    <row r="486" ht="15.75" customHeight="1">
      <c r="A486" s="58"/>
      <c r="B486" s="58"/>
      <c r="C486" s="58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</row>
    <row r="487" ht="15.75" customHeight="1">
      <c r="A487" s="58"/>
      <c r="B487" s="58"/>
      <c r="C487" s="58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</row>
    <row r="488" ht="15.75" customHeight="1">
      <c r="A488" s="58"/>
      <c r="B488" s="58"/>
      <c r="C488" s="58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</row>
    <row r="489" ht="15.75" customHeight="1">
      <c r="A489" s="58"/>
      <c r="B489" s="58"/>
      <c r="C489" s="58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</row>
    <row r="490" ht="15.75" customHeight="1">
      <c r="A490" s="58"/>
      <c r="B490" s="58"/>
      <c r="C490" s="58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</row>
    <row r="491" ht="15.75" customHeight="1">
      <c r="A491" s="58"/>
      <c r="B491" s="58"/>
      <c r="C491" s="58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</row>
    <row r="492" ht="15.75" customHeight="1">
      <c r="A492" s="58"/>
      <c r="B492" s="58"/>
      <c r="C492" s="58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</row>
    <row r="493" ht="15.75" customHeight="1">
      <c r="A493" s="58"/>
      <c r="B493" s="58"/>
      <c r="C493" s="58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</row>
    <row r="494" ht="15.75" customHeight="1">
      <c r="A494" s="58"/>
      <c r="B494" s="58"/>
      <c r="C494" s="58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</row>
    <row r="495" ht="15.75" customHeight="1">
      <c r="A495" s="58"/>
      <c r="B495" s="58"/>
      <c r="C495" s="58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</row>
    <row r="496" ht="15.75" customHeight="1">
      <c r="A496" s="58"/>
      <c r="B496" s="58"/>
      <c r="C496" s="58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</row>
    <row r="497" ht="15.75" customHeight="1">
      <c r="A497" s="58"/>
      <c r="B497" s="58"/>
      <c r="C497" s="58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</row>
    <row r="498" ht="15.75" customHeight="1">
      <c r="A498" s="58"/>
      <c r="B498" s="58"/>
      <c r="C498" s="58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</row>
    <row r="499" ht="15.75" customHeight="1">
      <c r="A499" s="58"/>
      <c r="B499" s="58"/>
      <c r="C499" s="58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</row>
    <row r="500" ht="15.75" customHeight="1">
      <c r="A500" s="58"/>
      <c r="B500" s="58"/>
      <c r="C500" s="58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</row>
    <row r="501" ht="15.75" customHeight="1">
      <c r="A501" s="58"/>
      <c r="B501" s="58"/>
      <c r="C501" s="58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</row>
    <row r="502" ht="15.75" customHeight="1">
      <c r="A502" s="58"/>
      <c r="B502" s="58"/>
      <c r="C502" s="58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</row>
    <row r="503" ht="15.75" customHeight="1">
      <c r="A503" s="58"/>
      <c r="B503" s="58"/>
      <c r="C503" s="58"/>
      <c r="D503" s="58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</row>
    <row r="504" ht="15.75" customHeight="1">
      <c r="A504" s="58"/>
      <c r="B504" s="58"/>
      <c r="C504" s="58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</row>
    <row r="505" ht="15.75" customHeight="1">
      <c r="A505" s="58"/>
      <c r="B505" s="58"/>
      <c r="C505" s="58"/>
      <c r="D505" s="58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</row>
    <row r="506" ht="15.75" customHeight="1">
      <c r="A506" s="58"/>
      <c r="B506" s="58"/>
      <c r="C506" s="58"/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</row>
    <row r="507" ht="15.75" customHeight="1">
      <c r="A507" s="58"/>
      <c r="B507" s="58"/>
      <c r="C507" s="58"/>
      <c r="D507" s="58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</row>
    <row r="508" ht="15.75" customHeight="1">
      <c r="A508" s="58"/>
      <c r="B508" s="58"/>
      <c r="C508" s="58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</row>
    <row r="509" ht="15.75" customHeight="1">
      <c r="A509" s="58"/>
      <c r="B509" s="58"/>
      <c r="C509" s="58"/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</row>
    <row r="510" ht="15.75" customHeight="1">
      <c r="A510" s="58"/>
      <c r="B510" s="58"/>
      <c r="C510" s="58"/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</row>
    <row r="511" ht="15.75" customHeight="1">
      <c r="A511" s="58"/>
      <c r="B511" s="58"/>
      <c r="C511" s="58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</row>
    <row r="512" ht="15.75" customHeight="1">
      <c r="A512" s="58"/>
      <c r="B512" s="58"/>
      <c r="C512" s="58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</row>
    <row r="513" ht="15.75" customHeight="1">
      <c r="A513" s="58"/>
      <c r="B513" s="58"/>
      <c r="C513" s="58"/>
      <c r="D513" s="58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</row>
    <row r="514" ht="15.75" customHeight="1">
      <c r="A514" s="58"/>
      <c r="B514" s="58"/>
      <c r="C514" s="58"/>
      <c r="D514" s="58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</row>
    <row r="515" ht="15.75" customHeight="1">
      <c r="A515" s="58"/>
      <c r="B515" s="58"/>
      <c r="C515" s="58"/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</row>
    <row r="516" ht="15.75" customHeight="1">
      <c r="A516" s="58"/>
      <c r="B516" s="58"/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</row>
    <row r="517" ht="15.75" customHeight="1">
      <c r="A517" s="58"/>
      <c r="B517" s="58"/>
      <c r="C517" s="58"/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</row>
    <row r="518" ht="15.75" customHeight="1">
      <c r="A518" s="58"/>
      <c r="B518" s="58"/>
      <c r="C518" s="58"/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</row>
    <row r="519" ht="15.75" customHeight="1">
      <c r="A519" s="58"/>
      <c r="B519" s="58"/>
      <c r="C519" s="58"/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</row>
    <row r="520" ht="15.75" customHeight="1">
      <c r="A520" s="58"/>
      <c r="B520" s="58"/>
      <c r="C520" s="58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</row>
    <row r="521" ht="15.75" customHeight="1">
      <c r="A521" s="58"/>
      <c r="B521" s="58"/>
      <c r="C521" s="58"/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</row>
    <row r="522" ht="15.75" customHeight="1">
      <c r="A522" s="58"/>
      <c r="B522" s="58"/>
      <c r="C522" s="58"/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</row>
    <row r="523" ht="15.75" customHeight="1">
      <c r="A523" s="58"/>
      <c r="B523" s="58"/>
      <c r="C523" s="58"/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</row>
    <row r="524" ht="15.75" customHeight="1">
      <c r="A524" s="58"/>
      <c r="B524" s="58"/>
      <c r="C524" s="58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</row>
    <row r="525" ht="15.75" customHeight="1">
      <c r="A525" s="58"/>
      <c r="B525" s="58"/>
      <c r="C525" s="58"/>
      <c r="D525" s="58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</row>
    <row r="526" ht="15.75" customHeight="1">
      <c r="A526" s="58"/>
      <c r="B526" s="58"/>
      <c r="C526" s="58"/>
      <c r="D526" s="58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</row>
    <row r="527" ht="15.75" customHeight="1">
      <c r="A527" s="58"/>
      <c r="B527" s="58"/>
      <c r="C527" s="58"/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</row>
    <row r="528" ht="15.75" customHeight="1">
      <c r="A528" s="58"/>
      <c r="B528" s="58"/>
      <c r="C528" s="58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</row>
    <row r="529" ht="15.75" customHeight="1">
      <c r="A529" s="58"/>
      <c r="B529" s="58"/>
      <c r="C529" s="58"/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</row>
    <row r="530" ht="15.75" customHeight="1">
      <c r="A530" s="58"/>
      <c r="B530" s="58"/>
      <c r="C530" s="58"/>
      <c r="D530" s="58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</row>
    <row r="531" ht="15.75" customHeight="1">
      <c r="A531" s="58"/>
      <c r="B531" s="58"/>
      <c r="C531" s="58"/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</row>
    <row r="532" ht="15.75" customHeight="1">
      <c r="A532" s="58"/>
      <c r="B532" s="58"/>
      <c r="C532" s="58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</row>
    <row r="533" ht="15.75" customHeight="1">
      <c r="A533" s="58"/>
      <c r="B533" s="58"/>
      <c r="C533" s="58"/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</row>
    <row r="534" ht="15.75" customHeight="1">
      <c r="A534" s="58"/>
      <c r="B534" s="58"/>
      <c r="C534" s="58"/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</row>
    <row r="535" ht="15.75" customHeight="1">
      <c r="A535" s="58"/>
      <c r="B535" s="58"/>
      <c r="C535" s="58"/>
      <c r="D535" s="58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</row>
    <row r="536" ht="15.75" customHeight="1">
      <c r="A536" s="58"/>
      <c r="B536" s="58"/>
      <c r="C536" s="58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</row>
    <row r="537" ht="15.75" customHeight="1">
      <c r="A537" s="58"/>
      <c r="B537" s="58"/>
      <c r="C537" s="58"/>
      <c r="D537" s="58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</row>
    <row r="538" ht="15.75" customHeight="1">
      <c r="A538" s="58"/>
      <c r="B538" s="58"/>
      <c r="C538" s="58"/>
      <c r="D538" s="58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</row>
    <row r="539" ht="15.75" customHeight="1">
      <c r="A539" s="58"/>
      <c r="B539" s="58"/>
      <c r="C539" s="58"/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</row>
    <row r="540" ht="15.75" customHeight="1">
      <c r="A540" s="58"/>
      <c r="B540" s="58"/>
      <c r="C540" s="58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</row>
    <row r="541" ht="15.75" customHeight="1">
      <c r="A541" s="58"/>
      <c r="B541" s="58"/>
      <c r="C541" s="58"/>
      <c r="D541" s="58"/>
      <c r="E541" s="58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</row>
    <row r="542" ht="15.75" customHeight="1">
      <c r="A542" s="58"/>
      <c r="B542" s="58"/>
      <c r="C542" s="58"/>
      <c r="D542" s="58"/>
      <c r="E542" s="58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</row>
    <row r="543" ht="15.75" customHeight="1">
      <c r="A543" s="58"/>
      <c r="B543" s="58"/>
      <c r="C543" s="58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</row>
    <row r="544" ht="15.75" customHeight="1">
      <c r="A544" s="58"/>
      <c r="B544" s="58"/>
      <c r="C544" s="58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</row>
    <row r="545" ht="15.75" customHeight="1">
      <c r="A545" s="58"/>
      <c r="B545" s="58"/>
      <c r="C545" s="58"/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</row>
    <row r="546" ht="15.75" customHeight="1">
      <c r="A546" s="58"/>
      <c r="B546" s="58"/>
      <c r="C546" s="58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</row>
    <row r="547" ht="15.75" customHeight="1">
      <c r="A547" s="58"/>
      <c r="B547" s="58"/>
      <c r="C547" s="58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</row>
    <row r="548" ht="15.75" customHeight="1">
      <c r="A548" s="58"/>
      <c r="B548" s="58"/>
      <c r="C548" s="58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</row>
    <row r="549" ht="15.75" customHeight="1">
      <c r="A549" s="58"/>
      <c r="B549" s="58"/>
      <c r="C549" s="58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</row>
    <row r="550" ht="15.75" customHeight="1">
      <c r="A550" s="58"/>
      <c r="B550" s="58"/>
      <c r="C550" s="58"/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</row>
    <row r="551" ht="15.75" customHeight="1">
      <c r="A551" s="58"/>
      <c r="B551" s="58"/>
      <c r="C551" s="58"/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</row>
    <row r="552" ht="15.75" customHeight="1">
      <c r="A552" s="58"/>
      <c r="B552" s="58"/>
      <c r="C552" s="58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</row>
    <row r="553" ht="15.75" customHeight="1">
      <c r="A553" s="58"/>
      <c r="B553" s="58"/>
      <c r="C553" s="58"/>
      <c r="D553" s="58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</row>
    <row r="554" ht="15.75" customHeight="1">
      <c r="A554" s="58"/>
      <c r="B554" s="58"/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</row>
    <row r="555" ht="15.75" customHeight="1">
      <c r="A555" s="58"/>
      <c r="B555" s="58"/>
      <c r="C555" s="58"/>
      <c r="D555" s="58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</row>
    <row r="556" ht="15.75" customHeight="1">
      <c r="A556" s="58"/>
      <c r="B556" s="58"/>
      <c r="C556" s="58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</row>
    <row r="557" ht="15.75" customHeight="1">
      <c r="A557" s="58"/>
      <c r="B557" s="58"/>
      <c r="C557" s="58"/>
      <c r="D557" s="58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</row>
    <row r="558" ht="15.75" customHeight="1">
      <c r="A558" s="58"/>
      <c r="B558" s="58"/>
      <c r="C558" s="58"/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</row>
    <row r="559" ht="15.75" customHeight="1">
      <c r="A559" s="58"/>
      <c r="B559" s="58"/>
      <c r="C559" s="58"/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</row>
    <row r="560" ht="15.75" customHeight="1">
      <c r="A560" s="58"/>
      <c r="B560" s="58"/>
      <c r="C560" s="58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</row>
    <row r="561" ht="15.75" customHeight="1">
      <c r="A561" s="58"/>
      <c r="B561" s="58"/>
      <c r="C561" s="58"/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</row>
    <row r="562" ht="15.75" customHeight="1">
      <c r="A562" s="58"/>
      <c r="B562" s="58"/>
      <c r="C562" s="58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</row>
    <row r="563" ht="15.75" customHeight="1">
      <c r="A563" s="58"/>
      <c r="B563" s="58"/>
      <c r="C563" s="58"/>
      <c r="D563" s="58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</row>
    <row r="564" ht="15.75" customHeight="1">
      <c r="A564" s="58"/>
      <c r="B564" s="58"/>
      <c r="C564" s="58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</row>
    <row r="565" ht="15.75" customHeight="1">
      <c r="A565" s="58"/>
      <c r="B565" s="58"/>
      <c r="C565" s="58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</row>
    <row r="566" ht="15.75" customHeight="1">
      <c r="A566" s="58"/>
      <c r="B566" s="58"/>
      <c r="C566" s="58"/>
      <c r="D566" s="58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</row>
    <row r="567" ht="15.75" customHeight="1">
      <c r="A567" s="58"/>
      <c r="B567" s="58"/>
      <c r="C567" s="58"/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</row>
    <row r="568" ht="15.75" customHeight="1">
      <c r="A568" s="58"/>
      <c r="B568" s="58"/>
      <c r="C568" s="58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</row>
    <row r="569" ht="15.75" customHeight="1">
      <c r="A569" s="58"/>
      <c r="B569" s="58"/>
      <c r="C569" s="58"/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</row>
    <row r="570" ht="15.75" customHeight="1">
      <c r="A570" s="58"/>
      <c r="B570" s="58"/>
      <c r="C570" s="58"/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</row>
    <row r="571" ht="15.75" customHeight="1">
      <c r="A571" s="58"/>
      <c r="B571" s="58"/>
      <c r="C571" s="58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</row>
    <row r="572" ht="15.75" customHeight="1">
      <c r="A572" s="58"/>
      <c r="B572" s="58"/>
      <c r="C572" s="58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</row>
    <row r="573" ht="15.75" customHeight="1">
      <c r="A573" s="58"/>
      <c r="B573" s="58"/>
      <c r="C573" s="58"/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</row>
    <row r="574" ht="15.75" customHeight="1">
      <c r="A574" s="58"/>
      <c r="B574" s="58"/>
      <c r="C574" s="58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</row>
    <row r="575" ht="15.75" customHeight="1">
      <c r="A575" s="58"/>
      <c r="B575" s="58"/>
      <c r="C575" s="58"/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</row>
    <row r="576" ht="15.75" customHeight="1">
      <c r="A576" s="58"/>
      <c r="B576" s="58"/>
      <c r="C576" s="58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</row>
    <row r="577" ht="15.75" customHeight="1">
      <c r="A577" s="58"/>
      <c r="B577" s="58"/>
      <c r="C577" s="58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</row>
    <row r="578" ht="15.75" customHeight="1">
      <c r="A578" s="58"/>
      <c r="B578" s="58"/>
      <c r="C578" s="58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</row>
    <row r="579" ht="15.75" customHeight="1">
      <c r="A579" s="58"/>
      <c r="B579" s="58"/>
      <c r="C579" s="58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</row>
    <row r="580" ht="15.75" customHeight="1">
      <c r="A580" s="58"/>
      <c r="B580" s="58"/>
      <c r="C580" s="58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</row>
    <row r="581" ht="15.75" customHeight="1">
      <c r="A581" s="58"/>
      <c r="B581" s="58"/>
      <c r="C581" s="58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</row>
    <row r="582" ht="15.75" customHeight="1">
      <c r="A582" s="58"/>
      <c r="B582" s="58"/>
      <c r="C582" s="58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</row>
    <row r="583" ht="15.75" customHeight="1">
      <c r="A583" s="58"/>
      <c r="B583" s="58"/>
      <c r="C583" s="58"/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</row>
    <row r="584" ht="15.75" customHeight="1">
      <c r="A584" s="58"/>
      <c r="B584" s="58"/>
      <c r="C584" s="58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</row>
    <row r="585" ht="15.75" customHeight="1">
      <c r="A585" s="58"/>
      <c r="B585" s="58"/>
      <c r="C585" s="58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</row>
    <row r="586" ht="15.75" customHeight="1">
      <c r="A586" s="58"/>
      <c r="B586" s="58"/>
      <c r="C586" s="58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</row>
    <row r="587" ht="15.75" customHeight="1">
      <c r="A587" s="58"/>
      <c r="B587" s="58"/>
      <c r="C587" s="58"/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</row>
    <row r="588" ht="15.75" customHeight="1">
      <c r="A588" s="58"/>
      <c r="B588" s="58"/>
      <c r="C588" s="58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</row>
    <row r="589" ht="15.75" customHeight="1">
      <c r="A589" s="58"/>
      <c r="B589" s="58"/>
      <c r="C589" s="58"/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</row>
    <row r="590" ht="15.75" customHeight="1">
      <c r="A590" s="58"/>
      <c r="B590" s="58"/>
      <c r="C590" s="58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</row>
    <row r="591" ht="15.75" customHeight="1">
      <c r="A591" s="58"/>
      <c r="B591" s="58"/>
      <c r="C591" s="58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</row>
    <row r="592" ht="15.75" customHeight="1">
      <c r="A592" s="58"/>
      <c r="B592" s="58"/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</row>
    <row r="593" ht="15.75" customHeight="1">
      <c r="A593" s="58"/>
      <c r="B593" s="58"/>
      <c r="C593" s="58"/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</row>
    <row r="594" ht="15.75" customHeight="1">
      <c r="A594" s="58"/>
      <c r="B594" s="58"/>
      <c r="C594" s="58"/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</row>
    <row r="595" ht="15.75" customHeight="1">
      <c r="A595" s="58"/>
      <c r="B595" s="58"/>
      <c r="C595" s="58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</row>
    <row r="596" ht="15.75" customHeight="1">
      <c r="A596" s="58"/>
      <c r="B596" s="58"/>
      <c r="C596" s="58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</row>
    <row r="597" ht="15.75" customHeight="1">
      <c r="A597" s="58"/>
      <c r="B597" s="58"/>
      <c r="C597" s="58"/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</row>
    <row r="598" ht="15.75" customHeight="1">
      <c r="A598" s="58"/>
      <c r="B598" s="58"/>
      <c r="C598" s="58"/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</row>
    <row r="599" ht="15.75" customHeight="1">
      <c r="A599" s="58"/>
      <c r="B599" s="58"/>
      <c r="C599" s="58"/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</row>
    <row r="600" ht="15.75" customHeight="1">
      <c r="A600" s="58"/>
      <c r="B600" s="58"/>
      <c r="C600" s="58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</row>
    <row r="601" ht="15.75" customHeight="1">
      <c r="A601" s="58"/>
      <c r="B601" s="58"/>
      <c r="C601" s="58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</row>
    <row r="602" ht="15.75" customHeight="1">
      <c r="A602" s="58"/>
      <c r="B602" s="58"/>
      <c r="C602" s="58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</row>
    <row r="603" ht="15.75" customHeight="1">
      <c r="A603" s="58"/>
      <c r="B603" s="58"/>
      <c r="C603" s="58"/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</row>
    <row r="604" ht="15.75" customHeight="1">
      <c r="A604" s="58"/>
      <c r="B604" s="58"/>
      <c r="C604" s="58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</row>
    <row r="605" ht="15.75" customHeight="1">
      <c r="A605" s="58"/>
      <c r="B605" s="58"/>
      <c r="C605" s="58"/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</row>
    <row r="606" ht="15.75" customHeight="1">
      <c r="A606" s="58"/>
      <c r="B606" s="58"/>
      <c r="C606" s="58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</row>
    <row r="607" ht="15.75" customHeight="1">
      <c r="A607" s="58"/>
      <c r="B607" s="58"/>
      <c r="C607" s="58"/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</row>
    <row r="608" ht="15.75" customHeight="1">
      <c r="A608" s="58"/>
      <c r="B608" s="58"/>
      <c r="C608" s="58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</row>
    <row r="609" ht="15.75" customHeight="1">
      <c r="A609" s="58"/>
      <c r="B609" s="58"/>
      <c r="C609" s="58"/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</row>
    <row r="610" ht="15.75" customHeight="1">
      <c r="A610" s="58"/>
      <c r="B610" s="58"/>
      <c r="C610" s="58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</row>
    <row r="611" ht="15.75" customHeight="1">
      <c r="A611" s="58"/>
      <c r="B611" s="58"/>
      <c r="C611" s="58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</row>
    <row r="612" ht="15.75" customHeight="1">
      <c r="A612" s="58"/>
      <c r="B612" s="58"/>
      <c r="C612" s="58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</row>
    <row r="613" ht="15.75" customHeight="1">
      <c r="A613" s="58"/>
      <c r="B613" s="58"/>
      <c r="C613" s="58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</row>
    <row r="614" ht="15.75" customHeight="1">
      <c r="A614" s="58"/>
      <c r="B614" s="58"/>
      <c r="C614" s="58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</row>
    <row r="615" ht="15.75" customHeight="1">
      <c r="A615" s="58"/>
      <c r="B615" s="58"/>
      <c r="C615" s="58"/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</row>
    <row r="616" ht="15.75" customHeight="1">
      <c r="A616" s="58"/>
      <c r="B616" s="58"/>
      <c r="C616" s="58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</row>
    <row r="617" ht="15.75" customHeight="1">
      <c r="A617" s="58"/>
      <c r="B617" s="58"/>
      <c r="C617" s="58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</row>
    <row r="618" ht="15.75" customHeight="1">
      <c r="A618" s="58"/>
      <c r="B618" s="58"/>
      <c r="C618" s="58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</row>
    <row r="619" ht="15.75" customHeight="1">
      <c r="A619" s="58"/>
      <c r="B619" s="58"/>
      <c r="C619" s="58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</row>
    <row r="620" ht="15.75" customHeight="1">
      <c r="A620" s="58"/>
      <c r="B620" s="58"/>
      <c r="C620" s="58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</row>
    <row r="621" ht="15.75" customHeight="1">
      <c r="A621" s="58"/>
      <c r="B621" s="58"/>
      <c r="C621" s="58"/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</row>
    <row r="622" ht="15.75" customHeight="1">
      <c r="A622" s="58"/>
      <c r="B622" s="58"/>
      <c r="C622" s="58"/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</row>
    <row r="623" ht="15.75" customHeight="1">
      <c r="A623" s="58"/>
      <c r="B623" s="58"/>
      <c r="C623" s="58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</row>
    <row r="624" ht="15.75" customHeight="1">
      <c r="A624" s="58"/>
      <c r="B624" s="58"/>
      <c r="C624" s="58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</row>
    <row r="625" ht="15.75" customHeight="1">
      <c r="A625" s="58"/>
      <c r="B625" s="58"/>
      <c r="C625" s="58"/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</row>
    <row r="626" ht="15.75" customHeight="1">
      <c r="A626" s="58"/>
      <c r="B626" s="58"/>
      <c r="C626" s="58"/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</row>
    <row r="627" ht="15.75" customHeight="1">
      <c r="A627" s="58"/>
      <c r="B627" s="58"/>
      <c r="C627" s="58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</row>
    <row r="628" ht="15.75" customHeight="1">
      <c r="A628" s="58"/>
      <c r="B628" s="58"/>
      <c r="C628" s="58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</row>
    <row r="629" ht="15.75" customHeight="1">
      <c r="A629" s="58"/>
      <c r="B629" s="58"/>
      <c r="C629" s="58"/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</row>
    <row r="630" ht="15.75" customHeight="1">
      <c r="A630" s="58"/>
      <c r="B630" s="58"/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</row>
    <row r="631" ht="15.75" customHeight="1">
      <c r="A631" s="58"/>
      <c r="B631" s="58"/>
      <c r="C631" s="58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</row>
    <row r="632" ht="15.75" customHeight="1">
      <c r="A632" s="58"/>
      <c r="B632" s="58"/>
      <c r="C632" s="58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</row>
    <row r="633" ht="15.75" customHeight="1">
      <c r="A633" s="58"/>
      <c r="B633" s="58"/>
      <c r="C633" s="58"/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</row>
    <row r="634" ht="15.75" customHeight="1">
      <c r="A634" s="58"/>
      <c r="B634" s="58"/>
      <c r="C634" s="58"/>
      <c r="D634" s="58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</row>
    <row r="635" ht="15.75" customHeight="1">
      <c r="A635" s="58"/>
      <c r="B635" s="58"/>
      <c r="C635" s="58"/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</row>
    <row r="636" ht="15.75" customHeight="1">
      <c r="A636" s="58"/>
      <c r="B636" s="58"/>
      <c r="C636" s="58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</row>
    <row r="637" ht="15.75" customHeight="1">
      <c r="A637" s="58"/>
      <c r="B637" s="58"/>
      <c r="C637" s="58"/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</row>
    <row r="638" ht="15.75" customHeight="1">
      <c r="A638" s="58"/>
      <c r="B638" s="58"/>
      <c r="C638" s="58"/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</row>
    <row r="639" ht="15.75" customHeight="1">
      <c r="A639" s="58"/>
      <c r="B639" s="58"/>
      <c r="C639" s="58"/>
      <c r="D639" s="58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</row>
    <row r="640" ht="15.75" customHeight="1">
      <c r="A640" s="58"/>
      <c r="B640" s="58"/>
      <c r="C640" s="58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</row>
    <row r="641" ht="15.75" customHeight="1">
      <c r="A641" s="58"/>
      <c r="B641" s="58"/>
      <c r="C641" s="58"/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</row>
    <row r="642" ht="15.75" customHeight="1">
      <c r="A642" s="58"/>
      <c r="B642" s="58"/>
      <c r="C642" s="58"/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</row>
    <row r="643" ht="15.75" customHeight="1">
      <c r="A643" s="58"/>
      <c r="B643" s="58"/>
      <c r="C643" s="58"/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</row>
    <row r="644" ht="15.75" customHeight="1">
      <c r="A644" s="58"/>
      <c r="B644" s="58"/>
      <c r="C644" s="58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</row>
    <row r="645" ht="15.75" customHeight="1">
      <c r="A645" s="58"/>
      <c r="B645" s="58"/>
      <c r="C645" s="58"/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</row>
    <row r="646" ht="15.75" customHeight="1">
      <c r="A646" s="58"/>
      <c r="B646" s="58"/>
      <c r="C646" s="58"/>
      <c r="D646" s="58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</row>
    <row r="647" ht="15.75" customHeight="1">
      <c r="A647" s="58"/>
      <c r="B647" s="58"/>
      <c r="C647" s="58"/>
      <c r="D647" s="58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</row>
    <row r="648" ht="15.75" customHeight="1">
      <c r="A648" s="58"/>
      <c r="B648" s="58"/>
      <c r="C648" s="58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</row>
    <row r="649" ht="15.75" customHeight="1">
      <c r="A649" s="58"/>
      <c r="B649" s="58"/>
      <c r="C649" s="58"/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</row>
    <row r="650" ht="15.75" customHeight="1">
      <c r="A650" s="58"/>
      <c r="B650" s="58"/>
      <c r="C650" s="58"/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</row>
    <row r="651" ht="15.75" customHeight="1">
      <c r="A651" s="58"/>
      <c r="B651" s="58"/>
      <c r="C651" s="58"/>
      <c r="D651" s="58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</row>
    <row r="652" ht="15.75" customHeight="1">
      <c r="A652" s="58"/>
      <c r="B652" s="58"/>
      <c r="C652" s="58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</row>
    <row r="653" ht="15.75" customHeight="1">
      <c r="A653" s="58"/>
      <c r="B653" s="58"/>
      <c r="C653" s="58"/>
      <c r="D653" s="58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</row>
    <row r="654" ht="15.75" customHeight="1">
      <c r="A654" s="58"/>
      <c r="B654" s="58"/>
      <c r="C654" s="58"/>
      <c r="D654" s="58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</row>
    <row r="655" ht="15.75" customHeight="1">
      <c r="A655" s="58"/>
      <c r="B655" s="58"/>
      <c r="C655" s="58"/>
      <c r="D655" s="58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</row>
    <row r="656" ht="15.75" customHeight="1">
      <c r="A656" s="58"/>
      <c r="B656" s="58"/>
      <c r="C656" s="58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</row>
    <row r="657" ht="15.75" customHeight="1">
      <c r="A657" s="58"/>
      <c r="B657" s="58"/>
      <c r="C657" s="58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</row>
    <row r="658" ht="15.75" customHeight="1">
      <c r="A658" s="58"/>
      <c r="B658" s="58"/>
      <c r="C658" s="58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</row>
    <row r="659" ht="15.75" customHeight="1">
      <c r="A659" s="58"/>
      <c r="B659" s="58"/>
      <c r="C659" s="58"/>
      <c r="D659" s="58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</row>
    <row r="660" ht="15.75" customHeight="1">
      <c r="A660" s="58"/>
      <c r="B660" s="58"/>
      <c r="C660" s="58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</row>
    <row r="661" ht="15.75" customHeight="1">
      <c r="A661" s="58"/>
      <c r="B661" s="58"/>
      <c r="C661" s="58"/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</row>
    <row r="662" ht="15.75" customHeight="1">
      <c r="A662" s="58"/>
      <c r="B662" s="58"/>
      <c r="C662" s="58"/>
      <c r="D662" s="58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</row>
    <row r="663" ht="15.75" customHeight="1">
      <c r="A663" s="58"/>
      <c r="B663" s="58"/>
      <c r="C663" s="58"/>
      <c r="D663" s="58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</row>
    <row r="664" ht="15.75" customHeight="1">
      <c r="A664" s="58"/>
      <c r="B664" s="58"/>
      <c r="C664" s="58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</row>
    <row r="665" ht="15.75" customHeight="1">
      <c r="A665" s="58"/>
      <c r="B665" s="58"/>
      <c r="C665" s="58"/>
      <c r="D665" s="58"/>
      <c r="E665" s="58"/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</row>
    <row r="666" ht="15.75" customHeight="1">
      <c r="A666" s="58"/>
      <c r="B666" s="58"/>
      <c r="C666" s="58"/>
      <c r="D666" s="58"/>
      <c r="E666" s="58"/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</row>
    <row r="667" ht="15.75" customHeight="1">
      <c r="A667" s="58"/>
      <c r="B667" s="58"/>
      <c r="C667" s="58"/>
      <c r="D667" s="58"/>
      <c r="E667" s="58"/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</row>
    <row r="668" ht="15.75" customHeight="1">
      <c r="A668" s="58"/>
      <c r="B668" s="58"/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</row>
    <row r="669" ht="15.75" customHeight="1">
      <c r="A669" s="58"/>
      <c r="B669" s="58"/>
      <c r="C669" s="58"/>
      <c r="D669" s="58"/>
      <c r="E669" s="58"/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</row>
    <row r="670" ht="15.75" customHeight="1">
      <c r="A670" s="58"/>
      <c r="B670" s="58"/>
      <c r="C670" s="58"/>
      <c r="D670" s="58"/>
      <c r="E670" s="58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</row>
    <row r="671" ht="15.75" customHeight="1">
      <c r="A671" s="58"/>
      <c r="B671" s="58"/>
      <c r="C671" s="58"/>
      <c r="D671" s="58"/>
      <c r="E671" s="58"/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</row>
    <row r="672" ht="15.75" customHeight="1">
      <c r="A672" s="58"/>
      <c r="B672" s="58"/>
      <c r="C672" s="58"/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</row>
    <row r="673" ht="15.75" customHeight="1">
      <c r="A673" s="58"/>
      <c r="B673" s="58"/>
      <c r="C673" s="58"/>
      <c r="D673" s="58"/>
      <c r="E673" s="58"/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</row>
    <row r="674" ht="15.75" customHeight="1">
      <c r="A674" s="58"/>
      <c r="B674" s="58"/>
      <c r="C674" s="58"/>
      <c r="D674" s="58"/>
      <c r="E674" s="58"/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</row>
    <row r="675" ht="15.75" customHeight="1">
      <c r="A675" s="58"/>
      <c r="B675" s="58"/>
      <c r="C675" s="58"/>
      <c r="D675" s="58"/>
      <c r="E675" s="58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</row>
    <row r="676" ht="15.75" customHeight="1">
      <c r="A676" s="58"/>
      <c r="B676" s="58"/>
      <c r="C676" s="58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</row>
    <row r="677" ht="15.75" customHeight="1">
      <c r="A677" s="58"/>
      <c r="B677" s="58"/>
      <c r="C677" s="58"/>
      <c r="D677" s="58"/>
      <c r="E677" s="58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</row>
    <row r="678" ht="15.75" customHeight="1">
      <c r="A678" s="58"/>
      <c r="B678" s="58"/>
      <c r="C678" s="58"/>
      <c r="D678" s="58"/>
      <c r="E678" s="58"/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</row>
    <row r="679" ht="15.75" customHeight="1">
      <c r="A679" s="58"/>
      <c r="B679" s="58"/>
      <c r="C679" s="58"/>
      <c r="D679" s="58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</row>
    <row r="680" ht="15.75" customHeight="1">
      <c r="A680" s="58"/>
      <c r="B680" s="58"/>
      <c r="C680" s="58"/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</row>
    <row r="681" ht="15.75" customHeight="1">
      <c r="A681" s="58"/>
      <c r="B681" s="58"/>
      <c r="C681" s="58"/>
      <c r="D681" s="58"/>
      <c r="E681" s="58"/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</row>
    <row r="682" ht="15.75" customHeight="1">
      <c r="A682" s="58"/>
      <c r="B682" s="58"/>
      <c r="C682" s="58"/>
      <c r="D682" s="58"/>
      <c r="E682" s="58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</row>
    <row r="683" ht="15.75" customHeight="1">
      <c r="A683" s="58"/>
      <c r="B683" s="58"/>
      <c r="C683" s="58"/>
      <c r="D683" s="58"/>
      <c r="E683" s="58"/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</row>
    <row r="684" ht="15.75" customHeight="1">
      <c r="A684" s="58"/>
      <c r="B684" s="58"/>
      <c r="C684" s="58"/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</row>
    <row r="685" ht="15.75" customHeight="1">
      <c r="A685" s="58"/>
      <c r="B685" s="58"/>
      <c r="C685" s="58"/>
      <c r="D685" s="58"/>
      <c r="E685" s="58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</row>
    <row r="686" ht="15.75" customHeight="1">
      <c r="A686" s="58"/>
      <c r="B686" s="58"/>
      <c r="C686" s="58"/>
      <c r="D686" s="58"/>
      <c r="E686" s="58"/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</row>
    <row r="687" ht="15.75" customHeight="1">
      <c r="A687" s="58"/>
      <c r="B687" s="58"/>
      <c r="C687" s="58"/>
      <c r="D687" s="58"/>
      <c r="E687" s="58"/>
      <c r="F687" s="58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</row>
    <row r="688" ht="15.75" customHeight="1">
      <c r="A688" s="58"/>
      <c r="B688" s="58"/>
      <c r="C688" s="58"/>
      <c r="D688" s="58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</row>
    <row r="689" ht="15.75" customHeight="1">
      <c r="A689" s="58"/>
      <c r="B689" s="58"/>
      <c r="C689" s="58"/>
      <c r="D689" s="58"/>
      <c r="E689" s="58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</row>
    <row r="690" ht="15.75" customHeight="1">
      <c r="A690" s="58"/>
      <c r="B690" s="58"/>
      <c r="C690" s="58"/>
      <c r="D690" s="58"/>
      <c r="E690" s="58"/>
      <c r="F690" s="58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</row>
    <row r="691" ht="15.75" customHeight="1">
      <c r="A691" s="58"/>
      <c r="B691" s="58"/>
      <c r="C691" s="58"/>
      <c r="D691" s="58"/>
      <c r="E691" s="58"/>
      <c r="F691" s="58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</row>
    <row r="692" ht="15.75" customHeight="1">
      <c r="A692" s="58"/>
      <c r="B692" s="58"/>
      <c r="C692" s="58"/>
      <c r="D692" s="58"/>
      <c r="E692" s="58"/>
      <c r="F692" s="58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</row>
    <row r="693" ht="15.75" customHeight="1">
      <c r="A693" s="58"/>
      <c r="B693" s="58"/>
      <c r="C693" s="58"/>
      <c r="D693" s="58"/>
      <c r="E693" s="58"/>
      <c r="F693" s="58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</row>
    <row r="694" ht="15.75" customHeight="1">
      <c r="A694" s="58"/>
      <c r="B694" s="58"/>
      <c r="C694" s="58"/>
      <c r="D694" s="58"/>
      <c r="E694" s="58"/>
      <c r="F694" s="58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</row>
    <row r="695" ht="15.75" customHeight="1">
      <c r="A695" s="58"/>
      <c r="B695" s="58"/>
      <c r="C695" s="58"/>
      <c r="D695" s="58"/>
      <c r="E695" s="58"/>
      <c r="F695" s="58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</row>
    <row r="696" ht="15.75" customHeight="1">
      <c r="A696" s="58"/>
      <c r="B696" s="58"/>
      <c r="C696" s="58"/>
      <c r="D696" s="58"/>
      <c r="E696" s="58"/>
      <c r="F696" s="58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</row>
    <row r="697" ht="15.75" customHeight="1">
      <c r="A697" s="58"/>
      <c r="B697" s="58"/>
      <c r="C697" s="58"/>
      <c r="D697" s="58"/>
      <c r="E697" s="58"/>
      <c r="F697" s="58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</row>
    <row r="698" ht="15.75" customHeight="1">
      <c r="A698" s="58"/>
      <c r="B698" s="58"/>
      <c r="C698" s="58"/>
      <c r="D698" s="58"/>
      <c r="E698" s="58"/>
      <c r="F698" s="58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</row>
    <row r="699" ht="15.75" customHeight="1">
      <c r="A699" s="58"/>
      <c r="B699" s="58"/>
      <c r="C699" s="58"/>
      <c r="D699" s="58"/>
      <c r="E699" s="58"/>
      <c r="F699" s="58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</row>
    <row r="700" ht="15.75" customHeight="1">
      <c r="A700" s="58"/>
      <c r="B700" s="58"/>
      <c r="C700" s="58"/>
      <c r="D700" s="58"/>
      <c r="E700" s="58"/>
      <c r="F700" s="58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</row>
    <row r="701" ht="15.75" customHeight="1">
      <c r="A701" s="58"/>
      <c r="B701" s="58"/>
      <c r="C701" s="58"/>
      <c r="D701" s="58"/>
      <c r="E701" s="58"/>
      <c r="F701" s="58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</row>
    <row r="702" ht="15.75" customHeight="1">
      <c r="A702" s="58"/>
      <c r="B702" s="58"/>
      <c r="C702" s="58"/>
      <c r="D702" s="58"/>
      <c r="E702" s="58"/>
      <c r="F702" s="58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</row>
    <row r="703" ht="15.75" customHeight="1">
      <c r="A703" s="58"/>
      <c r="B703" s="58"/>
      <c r="C703" s="58"/>
      <c r="D703" s="58"/>
      <c r="E703" s="58"/>
      <c r="F703" s="58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</row>
    <row r="704" ht="15.75" customHeight="1">
      <c r="A704" s="58"/>
      <c r="B704" s="58"/>
      <c r="C704" s="58"/>
      <c r="D704" s="58"/>
      <c r="E704" s="58"/>
      <c r="F704" s="58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</row>
    <row r="705" ht="15.75" customHeight="1">
      <c r="A705" s="58"/>
      <c r="B705" s="58"/>
      <c r="C705" s="58"/>
      <c r="D705" s="58"/>
      <c r="E705" s="58"/>
      <c r="F705" s="58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</row>
    <row r="706" ht="15.75" customHeight="1">
      <c r="A706" s="58"/>
      <c r="B706" s="58"/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</row>
    <row r="707" ht="15.75" customHeight="1">
      <c r="A707" s="58"/>
      <c r="B707" s="58"/>
      <c r="C707" s="58"/>
      <c r="D707" s="58"/>
      <c r="E707" s="58"/>
      <c r="F707" s="58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</row>
    <row r="708" ht="15.75" customHeight="1">
      <c r="A708" s="58"/>
      <c r="B708" s="58"/>
      <c r="C708" s="58"/>
      <c r="D708" s="58"/>
      <c r="E708" s="58"/>
      <c r="F708" s="58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</row>
    <row r="709" ht="15.75" customHeight="1">
      <c r="A709" s="58"/>
      <c r="B709" s="58"/>
      <c r="C709" s="58"/>
      <c r="D709" s="58"/>
      <c r="E709" s="58"/>
      <c r="F709" s="58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8"/>
    </row>
    <row r="710" ht="15.75" customHeight="1">
      <c r="A710" s="58"/>
      <c r="B710" s="58"/>
      <c r="C710" s="58"/>
      <c r="D710" s="58"/>
      <c r="E710" s="58"/>
      <c r="F710" s="58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</row>
    <row r="711" ht="15.75" customHeight="1">
      <c r="A711" s="58"/>
      <c r="B711" s="58"/>
      <c r="C711" s="58"/>
      <c r="D711" s="58"/>
      <c r="E711" s="58"/>
      <c r="F711" s="58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</row>
    <row r="712" ht="15.75" customHeight="1">
      <c r="A712" s="58"/>
      <c r="B712" s="58"/>
      <c r="C712" s="58"/>
      <c r="D712" s="58"/>
      <c r="E712" s="58"/>
      <c r="F712" s="58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</row>
    <row r="713" ht="15.75" customHeight="1">
      <c r="A713" s="58"/>
      <c r="B713" s="58"/>
      <c r="C713" s="58"/>
      <c r="D713" s="58"/>
      <c r="E713" s="58"/>
      <c r="F713" s="58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</row>
    <row r="714" ht="15.75" customHeight="1">
      <c r="A714" s="58"/>
      <c r="B714" s="58"/>
      <c r="C714" s="58"/>
      <c r="D714" s="58"/>
      <c r="E714" s="58"/>
      <c r="F714" s="58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</row>
    <row r="715" ht="15.75" customHeight="1">
      <c r="A715" s="58"/>
      <c r="B715" s="58"/>
      <c r="C715" s="58"/>
      <c r="D715" s="58"/>
      <c r="E715" s="58"/>
      <c r="F715" s="58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</row>
    <row r="716" ht="15.75" customHeight="1">
      <c r="A716" s="58"/>
      <c r="B716" s="58"/>
      <c r="C716" s="58"/>
      <c r="D716" s="58"/>
      <c r="E716" s="58"/>
      <c r="F716" s="58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</row>
    <row r="717" ht="15.75" customHeight="1">
      <c r="A717" s="58"/>
      <c r="B717" s="58"/>
      <c r="C717" s="58"/>
      <c r="D717" s="58"/>
      <c r="E717" s="58"/>
      <c r="F717" s="58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</row>
    <row r="718" ht="15.75" customHeight="1">
      <c r="A718" s="58"/>
      <c r="B718" s="58"/>
      <c r="C718" s="58"/>
      <c r="D718" s="58"/>
      <c r="E718" s="58"/>
      <c r="F718" s="58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</row>
    <row r="719" ht="15.75" customHeight="1">
      <c r="A719" s="58"/>
      <c r="B719" s="58"/>
      <c r="C719" s="58"/>
      <c r="D719" s="58"/>
      <c r="E719" s="58"/>
      <c r="F719" s="58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8"/>
    </row>
    <row r="720" ht="15.75" customHeight="1">
      <c r="A720" s="58"/>
      <c r="B720" s="58"/>
      <c r="C720" s="58"/>
      <c r="D720" s="58"/>
      <c r="E720" s="58"/>
      <c r="F720" s="58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8"/>
    </row>
    <row r="721" ht="15.75" customHeight="1">
      <c r="A721" s="58"/>
      <c r="B721" s="58"/>
      <c r="C721" s="58"/>
      <c r="D721" s="58"/>
      <c r="E721" s="58"/>
      <c r="F721" s="58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</row>
    <row r="722" ht="15.75" customHeight="1">
      <c r="A722" s="58"/>
      <c r="B722" s="58"/>
      <c r="C722" s="58"/>
      <c r="D722" s="58"/>
      <c r="E722" s="58"/>
      <c r="F722" s="58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8"/>
    </row>
    <row r="723" ht="15.75" customHeight="1">
      <c r="A723" s="58"/>
      <c r="B723" s="58"/>
      <c r="C723" s="58"/>
      <c r="D723" s="58"/>
      <c r="E723" s="58"/>
      <c r="F723" s="58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8"/>
    </row>
    <row r="724" ht="15.75" customHeight="1">
      <c r="A724" s="58"/>
      <c r="B724" s="58"/>
      <c r="C724" s="58"/>
      <c r="D724" s="58"/>
      <c r="E724" s="58"/>
      <c r="F724" s="58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8"/>
    </row>
    <row r="725" ht="15.75" customHeight="1">
      <c r="A725" s="58"/>
      <c r="B725" s="58"/>
      <c r="C725" s="58"/>
      <c r="D725" s="58"/>
      <c r="E725" s="58"/>
      <c r="F725" s="58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8"/>
    </row>
    <row r="726" ht="15.75" customHeight="1">
      <c r="A726" s="58"/>
      <c r="B726" s="58"/>
      <c r="C726" s="58"/>
      <c r="D726" s="58"/>
      <c r="E726" s="58"/>
      <c r="F726" s="58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8"/>
    </row>
    <row r="727" ht="15.75" customHeight="1">
      <c r="A727" s="58"/>
      <c r="B727" s="58"/>
      <c r="C727" s="58"/>
      <c r="D727" s="58"/>
      <c r="E727" s="58"/>
      <c r="F727" s="58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</row>
    <row r="728" ht="15.75" customHeight="1">
      <c r="A728" s="58"/>
      <c r="B728" s="58"/>
      <c r="C728" s="58"/>
      <c r="D728" s="58"/>
      <c r="E728" s="58"/>
      <c r="F728" s="58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</row>
    <row r="729" ht="15.75" customHeight="1">
      <c r="A729" s="58"/>
      <c r="B729" s="58"/>
      <c r="C729" s="58"/>
      <c r="D729" s="58"/>
      <c r="E729" s="58"/>
      <c r="F729" s="58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</row>
    <row r="730" ht="15.75" customHeight="1">
      <c r="A730" s="58"/>
      <c r="B730" s="58"/>
      <c r="C730" s="58"/>
      <c r="D730" s="58"/>
      <c r="E730" s="58"/>
      <c r="F730" s="58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</row>
    <row r="731" ht="15.75" customHeight="1">
      <c r="A731" s="58"/>
      <c r="B731" s="58"/>
      <c r="C731" s="58"/>
      <c r="D731" s="58"/>
      <c r="E731" s="58"/>
      <c r="F731" s="58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</row>
    <row r="732" ht="15.75" customHeight="1">
      <c r="A732" s="58"/>
      <c r="B732" s="58"/>
      <c r="C732" s="58"/>
      <c r="D732" s="58"/>
      <c r="E732" s="58"/>
      <c r="F732" s="58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</row>
    <row r="733" ht="15.75" customHeight="1">
      <c r="A733" s="58"/>
      <c r="B733" s="58"/>
      <c r="C733" s="58"/>
      <c r="D733" s="58"/>
      <c r="E733" s="58"/>
      <c r="F733" s="58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</row>
    <row r="734" ht="15.75" customHeight="1">
      <c r="A734" s="58"/>
      <c r="B734" s="58"/>
      <c r="C734" s="58"/>
      <c r="D734" s="58"/>
      <c r="E734" s="58"/>
      <c r="F734" s="58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8"/>
    </row>
    <row r="735" ht="15.75" customHeight="1">
      <c r="A735" s="58"/>
      <c r="B735" s="58"/>
      <c r="C735" s="58"/>
      <c r="D735" s="58"/>
      <c r="E735" s="58"/>
      <c r="F735" s="58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8"/>
    </row>
    <row r="736" ht="15.75" customHeight="1">
      <c r="A736" s="58"/>
      <c r="B736" s="58"/>
      <c r="C736" s="58"/>
      <c r="D736" s="58"/>
      <c r="E736" s="58"/>
      <c r="F736" s="58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</row>
    <row r="737" ht="15.75" customHeight="1">
      <c r="A737" s="58"/>
      <c r="B737" s="58"/>
      <c r="C737" s="58"/>
      <c r="D737" s="58"/>
      <c r="E737" s="58"/>
      <c r="F737" s="58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8"/>
    </row>
    <row r="738" ht="15.75" customHeight="1">
      <c r="A738" s="58"/>
      <c r="B738" s="58"/>
      <c r="C738" s="58"/>
      <c r="D738" s="58"/>
      <c r="E738" s="58"/>
      <c r="F738" s="58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</row>
    <row r="739" ht="15.75" customHeight="1">
      <c r="A739" s="58"/>
      <c r="B739" s="58"/>
      <c r="C739" s="58"/>
      <c r="D739" s="58"/>
      <c r="E739" s="58"/>
      <c r="F739" s="58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8"/>
    </row>
    <row r="740" ht="15.75" customHeight="1">
      <c r="A740" s="58"/>
      <c r="B740" s="58"/>
      <c r="C740" s="58"/>
      <c r="D740" s="58"/>
      <c r="E740" s="58"/>
      <c r="F740" s="58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8"/>
    </row>
    <row r="741" ht="15.75" customHeight="1">
      <c r="A741" s="58"/>
      <c r="B741" s="58"/>
      <c r="C741" s="58"/>
      <c r="D741" s="58"/>
      <c r="E741" s="58"/>
      <c r="F741" s="58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</row>
    <row r="742" ht="15.75" customHeight="1">
      <c r="A742" s="58"/>
      <c r="B742" s="58"/>
      <c r="C742" s="58"/>
      <c r="D742" s="58"/>
      <c r="E742" s="58"/>
      <c r="F742" s="58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</row>
    <row r="743" ht="15.75" customHeight="1">
      <c r="A743" s="58"/>
      <c r="B743" s="58"/>
      <c r="C743" s="58"/>
      <c r="D743" s="58"/>
      <c r="E743" s="58"/>
      <c r="F743" s="58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</row>
    <row r="744" ht="15.75" customHeight="1">
      <c r="A744" s="58"/>
      <c r="B744" s="58"/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</row>
    <row r="745" ht="15.75" customHeight="1">
      <c r="A745" s="58"/>
      <c r="B745" s="58"/>
      <c r="C745" s="58"/>
      <c r="D745" s="58"/>
      <c r="E745" s="58"/>
      <c r="F745" s="58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</row>
    <row r="746" ht="15.75" customHeight="1">
      <c r="A746" s="58"/>
      <c r="B746" s="58"/>
      <c r="C746" s="58"/>
      <c r="D746" s="58"/>
      <c r="E746" s="58"/>
      <c r="F746" s="58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</row>
    <row r="747" ht="15.75" customHeight="1">
      <c r="A747" s="58"/>
      <c r="B747" s="58"/>
      <c r="C747" s="58"/>
      <c r="D747" s="58"/>
      <c r="E747" s="58"/>
      <c r="F747" s="58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</row>
    <row r="748" ht="15.75" customHeight="1">
      <c r="A748" s="58"/>
      <c r="B748" s="58"/>
      <c r="C748" s="58"/>
      <c r="D748" s="58"/>
      <c r="E748" s="58"/>
      <c r="F748" s="58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</row>
    <row r="749" ht="15.75" customHeight="1">
      <c r="A749" s="58"/>
      <c r="B749" s="58"/>
      <c r="C749" s="58"/>
      <c r="D749" s="58"/>
      <c r="E749" s="58"/>
      <c r="F749" s="58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</row>
    <row r="750" ht="15.75" customHeight="1">
      <c r="A750" s="58"/>
      <c r="B750" s="58"/>
      <c r="C750" s="58"/>
      <c r="D750" s="58"/>
      <c r="E750" s="58"/>
      <c r="F750" s="58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</row>
    <row r="751" ht="15.75" customHeight="1">
      <c r="A751" s="58"/>
      <c r="B751" s="58"/>
      <c r="C751" s="58"/>
      <c r="D751" s="58"/>
      <c r="E751" s="58"/>
      <c r="F751" s="58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</row>
    <row r="752" ht="15.75" customHeight="1">
      <c r="A752" s="58"/>
      <c r="B752" s="58"/>
      <c r="C752" s="58"/>
      <c r="D752" s="58"/>
      <c r="E752" s="58"/>
      <c r="F752" s="58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</row>
    <row r="753" ht="15.75" customHeight="1">
      <c r="A753" s="58"/>
      <c r="B753" s="58"/>
      <c r="C753" s="58"/>
      <c r="D753" s="58"/>
      <c r="E753" s="58"/>
      <c r="F753" s="58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8"/>
    </row>
    <row r="754" ht="15.75" customHeight="1">
      <c r="A754" s="58"/>
      <c r="B754" s="58"/>
      <c r="C754" s="58"/>
      <c r="D754" s="58"/>
      <c r="E754" s="58"/>
      <c r="F754" s="58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8"/>
    </row>
    <row r="755" ht="15.75" customHeight="1">
      <c r="A755" s="58"/>
      <c r="B755" s="58"/>
      <c r="C755" s="58"/>
      <c r="D755" s="58"/>
      <c r="E755" s="58"/>
      <c r="F755" s="58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8"/>
    </row>
    <row r="756" ht="15.75" customHeight="1">
      <c r="A756" s="58"/>
      <c r="B756" s="58"/>
      <c r="C756" s="58"/>
      <c r="D756" s="58"/>
      <c r="E756" s="58"/>
      <c r="F756" s="58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8"/>
    </row>
    <row r="757" ht="15.75" customHeight="1">
      <c r="A757" s="58"/>
      <c r="B757" s="58"/>
      <c r="C757" s="58"/>
      <c r="D757" s="58"/>
      <c r="E757" s="58"/>
      <c r="F757" s="58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8"/>
    </row>
    <row r="758" ht="15.75" customHeight="1">
      <c r="A758" s="58"/>
      <c r="B758" s="58"/>
      <c r="C758" s="58"/>
      <c r="D758" s="58"/>
      <c r="E758" s="58"/>
      <c r="F758" s="58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8"/>
    </row>
    <row r="759" ht="15.75" customHeight="1">
      <c r="A759" s="58"/>
      <c r="B759" s="58"/>
      <c r="C759" s="58"/>
      <c r="D759" s="58"/>
      <c r="E759" s="58"/>
      <c r="F759" s="58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8"/>
    </row>
    <row r="760" ht="15.75" customHeight="1">
      <c r="A760" s="58"/>
      <c r="B760" s="58"/>
      <c r="C760" s="58"/>
      <c r="D760" s="58"/>
      <c r="E760" s="58"/>
      <c r="F760" s="58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8"/>
    </row>
    <row r="761" ht="15.75" customHeight="1">
      <c r="A761" s="58"/>
      <c r="B761" s="58"/>
      <c r="C761" s="58"/>
      <c r="D761" s="58"/>
      <c r="E761" s="58"/>
      <c r="F761" s="58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</row>
    <row r="762" ht="15.75" customHeight="1">
      <c r="A762" s="58"/>
      <c r="B762" s="58"/>
      <c r="C762" s="58"/>
      <c r="D762" s="58"/>
      <c r="E762" s="58"/>
      <c r="F762" s="58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8"/>
    </row>
    <row r="763" ht="15.75" customHeight="1">
      <c r="A763" s="58"/>
      <c r="B763" s="58"/>
      <c r="C763" s="58"/>
      <c r="D763" s="58"/>
      <c r="E763" s="58"/>
      <c r="F763" s="58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8"/>
    </row>
    <row r="764" ht="15.75" customHeight="1">
      <c r="A764" s="58"/>
      <c r="B764" s="58"/>
      <c r="C764" s="58"/>
      <c r="D764" s="58"/>
      <c r="E764" s="58"/>
      <c r="F764" s="58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</row>
    <row r="765" ht="15.75" customHeight="1">
      <c r="A765" s="58"/>
      <c r="B765" s="58"/>
      <c r="C765" s="58"/>
      <c r="D765" s="58"/>
      <c r="E765" s="58"/>
      <c r="F765" s="58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</row>
    <row r="766" ht="15.75" customHeight="1">
      <c r="A766" s="58"/>
      <c r="B766" s="58"/>
      <c r="C766" s="58"/>
      <c r="D766" s="58"/>
      <c r="E766" s="58"/>
      <c r="F766" s="58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</row>
    <row r="767" ht="15.75" customHeight="1">
      <c r="A767" s="58"/>
      <c r="B767" s="58"/>
      <c r="C767" s="58"/>
      <c r="D767" s="58"/>
      <c r="E767" s="58"/>
      <c r="F767" s="58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</row>
    <row r="768" ht="15.75" customHeight="1">
      <c r="A768" s="58"/>
      <c r="B768" s="58"/>
      <c r="C768" s="58"/>
      <c r="D768" s="58"/>
      <c r="E768" s="58"/>
      <c r="F768" s="58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</row>
    <row r="769" ht="15.75" customHeight="1">
      <c r="A769" s="58"/>
      <c r="B769" s="58"/>
      <c r="C769" s="58"/>
      <c r="D769" s="58"/>
      <c r="E769" s="58"/>
      <c r="F769" s="58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</row>
    <row r="770" ht="15.75" customHeight="1">
      <c r="A770" s="58"/>
      <c r="B770" s="58"/>
      <c r="C770" s="58"/>
      <c r="D770" s="58"/>
      <c r="E770" s="58"/>
      <c r="F770" s="58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8"/>
    </row>
    <row r="771" ht="15.75" customHeight="1">
      <c r="A771" s="58"/>
      <c r="B771" s="58"/>
      <c r="C771" s="58"/>
      <c r="D771" s="58"/>
      <c r="E771" s="58"/>
      <c r="F771" s="58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8"/>
    </row>
    <row r="772" ht="15.75" customHeight="1">
      <c r="A772" s="58"/>
      <c r="B772" s="58"/>
      <c r="C772" s="58"/>
      <c r="D772" s="58"/>
      <c r="E772" s="58"/>
      <c r="F772" s="58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8"/>
    </row>
    <row r="773" ht="15.75" customHeight="1">
      <c r="A773" s="58"/>
      <c r="B773" s="58"/>
      <c r="C773" s="58"/>
      <c r="D773" s="58"/>
      <c r="E773" s="58"/>
      <c r="F773" s="58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8"/>
    </row>
    <row r="774" ht="15.75" customHeight="1">
      <c r="A774" s="58"/>
      <c r="B774" s="58"/>
      <c r="C774" s="58"/>
      <c r="D774" s="58"/>
      <c r="E774" s="58"/>
      <c r="F774" s="58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</row>
    <row r="775" ht="15.75" customHeight="1">
      <c r="A775" s="58"/>
      <c r="B775" s="58"/>
      <c r="C775" s="58"/>
      <c r="D775" s="58"/>
      <c r="E775" s="58"/>
      <c r="F775" s="58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8"/>
    </row>
    <row r="776" ht="15.75" customHeight="1">
      <c r="A776" s="58"/>
      <c r="B776" s="58"/>
      <c r="C776" s="58"/>
      <c r="D776" s="58"/>
      <c r="E776" s="58"/>
      <c r="F776" s="58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8"/>
    </row>
    <row r="777" ht="15.75" customHeight="1">
      <c r="A777" s="58"/>
      <c r="B777" s="58"/>
      <c r="C777" s="58"/>
      <c r="D777" s="58"/>
      <c r="E777" s="58"/>
      <c r="F777" s="58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</row>
    <row r="778" ht="15.75" customHeight="1">
      <c r="A778" s="58"/>
      <c r="B778" s="58"/>
      <c r="C778" s="58"/>
      <c r="D778" s="58"/>
      <c r="E778" s="58"/>
      <c r="F778" s="58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8"/>
    </row>
    <row r="779" ht="15.75" customHeight="1">
      <c r="A779" s="58"/>
      <c r="B779" s="58"/>
      <c r="C779" s="58"/>
      <c r="D779" s="58"/>
      <c r="E779" s="58"/>
      <c r="F779" s="58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</row>
    <row r="780" ht="15.75" customHeight="1">
      <c r="A780" s="58"/>
      <c r="B780" s="58"/>
      <c r="C780" s="58"/>
      <c r="D780" s="58"/>
      <c r="E780" s="58"/>
      <c r="F780" s="58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8"/>
    </row>
    <row r="781" ht="15.75" customHeight="1">
      <c r="A781" s="58"/>
      <c r="B781" s="58"/>
      <c r="C781" s="58"/>
      <c r="D781" s="58"/>
      <c r="E781" s="58"/>
      <c r="F781" s="58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8"/>
    </row>
    <row r="782" ht="15.75" customHeight="1">
      <c r="A782" s="58"/>
      <c r="B782" s="58"/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</row>
    <row r="783" ht="15.75" customHeight="1">
      <c r="A783" s="58"/>
      <c r="B783" s="58"/>
      <c r="C783" s="58"/>
      <c r="D783" s="58"/>
      <c r="E783" s="58"/>
      <c r="F783" s="58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</row>
    <row r="784" ht="15.75" customHeight="1">
      <c r="A784" s="58"/>
      <c r="B784" s="58"/>
      <c r="C784" s="58"/>
      <c r="D784" s="58"/>
      <c r="E784" s="58"/>
      <c r="F784" s="58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</row>
    <row r="785" ht="15.75" customHeight="1">
      <c r="A785" s="58"/>
      <c r="B785" s="58"/>
      <c r="C785" s="58"/>
      <c r="D785" s="58"/>
      <c r="E785" s="58"/>
      <c r="F785" s="58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</row>
    <row r="786" ht="15.75" customHeight="1">
      <c r="A786" s="58"/>
      <c r="B786" s="58"/>
      <c r="C786" s="58"/>
      <c r="D786" s="58"/>
      <c r="E786" s="58"/>
      <c r="F786" s="58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</row>
    <row r="787" ht="15.75" customHeight="1">
      <c r="A787" s="58"/>
      <c r="B787" s="58"/>
      <c r="C787" s="58"/>
      <c r="D787" s="58"/>
      <c r="E787" s="58"/>
      <c r="F787" s="58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</row>
    <row r="788" ht="15.75" customHeight="1">
      <c r="A788" s="58"/>
      <c r="B788" s="58"/>
      <c r="C788" s="58"/>
      <c r="D788" s="58"/>
      <c r="E788" s="58"/>
      <c r="F788" s="58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</row>
    <row r="789" ht="15.75" customHeight="1">
      <c r="A789" s="58"/>
      <c r="B789" s="58"/>
      <c r="C789" s="58"/>
      <c r="D789" s="58"/>
      <c r="E789" s="58"/>
      <c r="F789" s="58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8"/>
    </row>
    <row r="790" ht="15.75" customHeight="1">
      <c r="A790" s="58"/>
      <c r="B790" s="58"/>
      <c r="C790" s="58"/>
      <c r="D790" s="58"/>
      <c r="E790" s="58"/>
      <c r="F790" s="58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8"/>
    </row>
    <row r="791" ht="15.75" customHeight="1">
      <c r="A791" s="58"/>
      <c r="B791" s="58"/>
      <c r="C791" s="58"/>
      <c r="D791" s="58"/>
      <c r="E791" s="58"/>
      <c r="F791" s="58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8"/>
    </row>
    <row r="792" ht="15.75" customHeight="1">
      <c r="A792" s="58"/>
      <c r="B792" s="58"/>
      <c r="C792" s="58"/>
      <c r="D792" s="58"/>
      <c r="E792" s="58"/>
      <c r="F792" s="58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8"/>
    </row>
    <row r="793" ht="15.75" customHeight="1">
      <c r="A793" s="58"/>
      <c r="B793" s="58"/>
      <c r="C793" s="58"/>
      <c r="D793" s="58"/>
      <c r="E793" s="58"/>
      <c r="F793" s="58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8"/>
    </row>
    <row r="794" ht="15.75" customHeight="1">
      <c r="A794" s="58"/>
      <c r="B794" s="58"/>
      <c r="C794" s="58"/>
      <c r="D794" s="58"/>
      <c r="E794" s="58"/>
      <c r="F794" s="58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8"/>
    </row>
    <row r="795" ht="15.75" customHeight="1">
      <c r="A795" s="58"/>
      <c r="B795" s="58"/>
      <c r="C795" s="58"/>
      <c r="D795" s="58"/>
      <c r="E795" s="58"/>
      <c r="F795" s="58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</row>
    <row r="796" ht="15.75" customHeight="1">
      <c r="A796" s="58"/>
      <c r="B796" s="58"/>
      <c r="C796" s="58"/>
      <c r="D796" s="58"/>
      <c r="E796" s="58"/>
      <c r="F796" s="58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8"/>
    </row>
    <row r="797" ht="15.75" customHeight="1">
      <c r="A797" s="58"/>
      <c r="B797" s="58"/>
      <c r="C797" s="58"/>
      <c r="D797" s="58"/>
      <c r="E797" s="58"/>
      <c r="F797" s="58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8"/>
    </row>
    <row r="798" ht="15.75" customHeight="1">
      <c r="A798" s="58"/>
      <c r="B798" s="58"/>
      <c r="C798" s="58"/>
      <c r="D798" s="58"/>
      <c r="E798" s="58"/>
      <c r="F798" s="58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8"/>
    </row>
    <row r="799" ht="15.75" customHeight="1">
      <c r="A799" s="58"/>
      <c r="B799" s="58"/>
      <c r="C799" s="58"/>
      <c r="D799" s="58"/>
      <c r="E799" s="58"/>
      <c r="F799" s="58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</row>
    <row r="800" ht="15.75" customHeight="1">
      <c r="A800" s="58"/>
      <c r="B800" s="58"/>
      <c r="C800" s="58"/>
      <c r="D800" s="58"/>
      <c r="E800" s="58"/>
      <c r="F800" s="58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</row>
    <row r="801" ht="15.75" customHeight="1">
      <c r="A801" s="58"/>
      <c r="B801" s="58"/>
      <c r="C801" s="58"/>
      <c r="D801" s="58"/>
      <c r="E801" s="58"/>
      <c r="F801" s="58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</row>
    <row r="802" ht="15.75" customHeight="1">
      <c r="A802" s="58"/>
      <c r="B802" s="58"/>
      <c r="C802" s="58"/>
      <c r="D802" s="58"/>
      <c r="E802" s="58"/>
      <c r="F802" s="58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</row>
    <row r="803" ht="15.75" customHeight="1">
      <c r="A803" s="58"/>
      <c r="B803" s="58"/>
      <c r="C803" s="58"/>
      <c r="D803" s="58"/>
      <c r="E803" s="58"/>
      <c r="F803" s="58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</row>
    <row r="804" ht="15.75" customHeight="1">
      <c r="A804" s="58"/>
      <c r="B804" s="58"/>
      <c r="C804" s="58"/>
      <c r="D804" s="58"/>
      <c r="E804" s="58"/>
      <c r="F804" s="58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</row>
    <row r="805" ht="15.75" customHeight="1">
      <c r="A805" s="58"/>
      <c r="B805" s="58"/>
      <c r="C805" s="58"/>
      <c r="D805" s="58"/>
      <c r="E805" s="58"/>
      <c r="F805" s="58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</row>
    <row r="806" ht="15.75" customHeight="1">
      <c r="A806" s="58"/>
      <c r="B806" s="58"/>
      <c r="C806" s="58"/>
      <c r="D806" s="58"/>
      <c r="E806" s="58"/>
      <c r="F806" s="58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8"/>
    </row>
    <row r="807" ht="15.75" customHeight="1">
      <c r="A807" s="58"/>
      <c r="B807" s="58"/>
      <c r="C807" s="58"/>
      <c r="D807" s="58"/>
      <c r="E807" s="58"/>
      <c r="F807" s="58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8"/>
    </row>
    <row r="808" ht="15.75" customHeight="1">
      <c r="A808" s="58"/>
      <c r="B808" s="58"/>
      <c r="C808" s="58"/>
      <c r="D808" s="58"/>
      <c r="E808" s="58"/>
      <c r="F808" s="58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8"/>
    </row>
    <row r="809" ht="15.75" customHeight="1">
      <c r="A809" s="58"/>
      <c r="B809" s="58"/>
      <c r="C809" s="58"/>
      <c r="D809" s="58"/>
      <c r="E809" s="58"/>
      <c r="F809" s="58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8"/>
    </row>
    <row r="810" ht="15.75" customHeight="1">
      <c r="A810" s="58"/>
      <c r="B810" s="58"/>
      <c r="C810" s="58"/>
      <c r="D810" s="58"/>
      <c r="E810" s="58"/>
      <c r="F810" s="58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</row>
    <row r="811" ht="15.75" customHeight="1">
      <c r="A811" s="58"/>
      <c r="B811" s="58"/>
      <c r="C811" s="58"/>
      <c r="D811" s="58"/>
      <c r="E811" s="58"/>
      <c r="F811" s="58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</row>
    <row r="812" ht="15.75" customHeight="1">
      <c r="A812" s="58"/>
      <c r="B812" s="58"/>
      <c r="C812" s="58"/>
      <c r="D812" s="58"/>
      <c r="E812" s="58"/>
      <c r="F812" s="58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8"/>
    </row>
    <row r="813" ht="15.75" customHeight="1">
      <c r="A813" s="58"/>
      <c r="B813" s="58"/>
      <c r="C813" s="58"/>
      <c r="D813" s="58"/>
      <c r="E813" s="58"/>
      <c r="F813" s="58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8"/>
    </row>
    <row r="814" ht="15.75" customHeight="1">
      <c r="A814" s="58"/>
      <c r="B814" s="58"/>
      <c r="C814" s="58"/>
      <c r="D814" s="58"/>
      <c r="E814" s="58"/>
      <c r="F814" s="58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8"/>
    </row>
    <row r="815" ht="15.75" customHeight="1">
      <c r="A815" s="58"/>
      <c r="B815" s="58"/>
      <c r="C815" s="58"/>
      <c r="D815" s="58"/>
      <c r="E815" s="58"/>
      <c r="F815" s="58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8"/>
    </row>
    <row r="816" ht="15.75" customHeight="1">
      <c r="A816" s="58"/>
      <c r="B816" s="58"/>
      <c r="C816" s="58"/>
      <c r="D816" s="58"/>
      <c r="E816" s="58"/>
      <c r="F816" s="58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</row>
    <row r="817" ht="15.75" customHeight="1">
      <c r="A817" s="58"/>
      <c r="B817" s="58"/>
      <c r="C817" s="58"/>
      <c r="D817" s="58"/>
      <c r="E817" s="58"/>
      <c r="F817" s="58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8"/>
    </row>
    <row r="818" ht="15.75" customHeight="1">
      <c r="A818" s="58"/>
      <c r="B818" s="58"/>
      <c r="C818" s="58"/>
      <c r="D818" s="58"/>
      <c r="E818" s="58"/>
      <c r="F818" s="58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</row>
    <row r="819" ht="15.75" customHeight="1">
      <c r="A819" s="58"/>
      <c r="B819" s="58"/>
      <c r="C819" s="58"/>
      <c r="D819" s="58"/>
      <c r="E819" s="58"/>
      <c r="F819" s="58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</row>
    <row r="820" ht="15.75" customHeight="1">
      <c r="A820" s="58"/>
      <c r="B820" s="58"/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</row>
    <row r="821" ht="15.75" customHeight="1">
      <c r="A821" s="58"/>
      <c r="B821" s="58"/>
      <c r="C821" s="58"/>
      <c r="D821" s="58"/>
      <c r="E821" s="58"/>
      <c r="F821" s="58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</row>
    <row r="822" ht="15.75" customHeight="1">
      <c r="A822" s="58"/>
      <c r="B822" s="58"/>
      <c r="C822" s="58"/>
      <c r="D822" s="58"/>
      <c r="E822" s="58"/>
      <c r="F822" s="58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</row>
    <row r="823" ht="15.75" customHeight="1">
      <c r="A823" s="58"/>
      <c r="B823" s="58"/>
      <c r="C823" s="58"/>
      <c r="D823" s="58"/>
      <c r="E823" s="58"/>
      <c r="F823" s="58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</row>
    <row r="824" ht="15.75" customHeight="1">
      <c r="A824" s="58"/>
      <c r="B824" s="58"/>
      <c r="C824" s="58"/>
      <c r="D824" s="58"/>
      <c r="E824" s="58"/>
      <c r="F824" s="58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8"/>
    </row>
    <row r="825" ht="15.75" customHeight="1">
      <c r="A825" s="58"/>
      <c r="B825" s="58"/>
      <c r="C825" s="58"/>
      <c r="D825" s="58"/>
      <c r="E825" s="58"/>
      <c r="F825" s="58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8"/>
    </row>
    <row r="826" ht="15.75" customHeight="1">
      <c r="A826" s="58"/>
      <c r="B826" s="58"/>
      <c r="C826" s="58"/>
      <c r="D826" s="58"/>
      <c r="E826" s="58"/>
      <c r="F826" s="58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8"/>
    </row>
    <row r="827" ht="15.75" customHeight="1">
      <c r="A827" s="58"/>
      <c r="B827" s="58"/>
      <c r="C827" s="58"/>
      <c r="D827" s="58"/>
      <c r="E827" s="58"/>
      <c r="F827" s="58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58"/>
    </row>
    <row r="828" ht="15.75" customHeight="1">
      <c r="A828" s="58"/>
      <c r="B828" s="58"/>
      <c r="C828" s="58"/>
      <c r="D828" s="58"/>
      <c r="E828" s="58"/>
      <c r="F828" s="58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58"/>
    </row>
    <row r="829" ht="15.75" customHeight="1">
      <c r="A829" s="58"/>
      <c r="B829" s="58"/>
      <c r="C829" s="58"/>
      <c r="D829" s="58"/>
      <c r="E829" s="58"/>
      <c r="F829" s="58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58"/>
    </row>
    <row r="830" ht="15.75" customHeight="1">
      <c r="A830" s="58"/>
      <c r="B830" s="58"/>
      <c r="C830" s="58"/>
      <c r="D830" s="58"/>
      <c r="E830" s="58"/>
      <c r="F830" s="58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58"/>
    </row>
    <row r="831" ht="15.75" customHeight="1">
      <c r="A831" s="58"/>
      <c r="B831" s="58"/>
      <c r="C831" s="58"/>
      <c r="D831" s="58"/>
      <c r="E831" s="58"/>
      <c r="F831" s="58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8"/>
    </row>
    <row r="832" ht="15.75" customHeight="1">
      <c r="A832" s="58"/>
      <c r="B832" s="58"/>
      <c r="C832" s="58"/>
      <c r="D832" s="58"/>
      <c r="E832" s="58"/>
      <c r="F832" s="58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8"/>
    </row>
    <row r="833" ht="15.75" customHeight="1">
      <c r="A833" s="58"/>
      <c r="B833" s="58"/>
      <c r="C833" s="58"/>
      <c r="D833" s="58"/>
      <c r="E833" s="58"/>
      <c r="F833" s="58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8"/>
    </row>
    <row r="834" ht="15.75" customHeight="1">
      <c r="A834" s="58"/>
      <c r="B834" s="58"/>
      <c r="C834" s="58"/>
      <c r="D834" s="58"/>
      <c r="E834" s="58"/>
      <c r="F834" s="58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8"/>
    </row>
    <row r="835" ht="15.75" customHeight="1">
      <c r="A835" s="58"/>
      <c r="B835" s="58"/>
      <c r="C835" s="58"/>
      <c r="D835" s="58"/>
      <c r="E835" s="58"/>
      <c r="F835" s="58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8"/>
    </row>
    <row r="836" ht="15.75" customHeight="1">
      <c r="A836" s="58"/>
      <c r="B836" s="58"/>
      <c r="C836" s="58"/>
      <c r="D836" s="58"/>
      <c r="E836" s="58"/>
      <c r="F836" s="58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</row>
    <row r="837" ht="15.75" customHeight="1">
      <c r="A837" s="58"/>
      <c r="B837" s="58"/>
      <c r="C837" s="58"/>
      <c r="D837" s="58"/>
      <c r="E837" s="58"/>
      <c r="F837" s="58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</row>
    <row r="838" ht="15.75" customHeight="1">
      <c r="A838" s="58"/>
      <c r="B838" s="58"/>
      <c r="C838" s="58"/>
      <c r="D838" s="58"/>
      <c r="E838" s="58"/>
      <c r="F838" s="58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</row>
    <row r="839" ht="15.75" customHeight="1">
      <c r="A839" s="58"/>
      <c r="B839" s="58"/>
      <c r="C839" s="58"/>
      <c r="D839" s="58"/>
      <c r="E839" s="58"/>
      <c r="F839" s="58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</row>
    <row r="840" ht="15.75" customHeight="1">
      <c r="A840" s="58"/>
      <c r="B840" s="58"/>
      <c r="C840" s="58"/>
      <c r="D840" s="58"/>
      <c r="E840" s="58"/>
      <c r="F840" s="58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</row>
    <row r="841" ht="15.75" customHeight="1">
      <c r="A841" s="58"/>
      <c r="B841" s="58"/>
      <c r="C841" s="58"/>
      <c r="D841" s="58"/>
      <c r="E841" s="58"/>
      <c r="F841" s="58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</row>
    <row r="842" ht="15.75" customHeight="1">
      <c r="A842" s="58"/>
      <c r="B842" s="58"/>
      <c r="C842" s="58"/>
      <c r="D842" s="58"/>
      <c r="E842" s="58"/>
      <c r="F842" s="58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8"/>
    </row>
    <row r="843" ht="15.75" customHeight="1">
      <c r="A843" s="58"/>
      <c r="B843" s="58"/>
      <c r="C843" s="58"/>
      <c r="D843" s="58"/>
      <c r="E843" s="58"/>
      <c r="F843" s="58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8"/>
    </row>
    <row r="844" ht="15.75" customHeight="1">
      <c r="A844" s="58"/>
      <c r="B844" s="58"/>
      <c r="C844" s="58"/>
      <c r="D844" s="58"/>
      <c r="E844" s="58"/>
      <c r="F844" s="58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8"/>
    </row>
    <row r="845" ht="15.75" customHeight="1">
      <c r="A845" s="58"/>
      <c r="B845" s="58"/>
      <c r="C845" s="58"/>
      <c r="D845" s="58"/>
      <c r="E845" s="58"/>
      <c r="F845" s="58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8"/>
    </row>
    <row r="846" ht="15.75" customHeight="1">
      <c r="A846" s="58"/>
      <c r="B846" s="58"/>
      <c r="C846" s="58"/>
      <c r="D846" s="58"/>
      <c r="E846" s="58"/>
      <c r="F846" s="58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</row>
    <row r="847" ht="15.75" customHeight="1">
      <c r="A847" s="58"/>
      <c r="B847" s="58"/>
      <c r="C847" s="58"/>
      <c r="D847" s="58"/>
      <c r="E847" s="58"/>
      <c r="F847" s="58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8"/>
    </row>
    <row r="848" ht="15.75" customHeight="1">
      <c r="A848" s="58"/>
      <c r="B848" s="58"/>
      <c r="C848" s="58"/>
      <c r="D848" s="58"/>
      <c r="E848" s="58"/>
      <c r="F848" s="58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</row>
    <row r="849" ht="15.75" customHeight="1">
      <c r="A849" s="58"/>
      <c r="B849" s="58"/>
      <c r="C849" s="58"/>
      <c r="D849" s="58"/>
      <c r="E849" s="58"/>
      <c r="F849" s="58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8"/>
    </row>
    <row r="850" ht="15.75" customHeight="1">
      <c r="A850" s="58"/>
      <c r="B850" s="58"/>
      <c r="C850" s="58"/>
      <c r="D850" s="58"/>
      <c r="E850" s="58"/>
      <c r="F850" s="58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8"/>
    </row>
    <row r="851" ht="15.75" customHeight="1">
      <c r="A851" s="58"/>
      <c r="B851" s="58"/>
      <c r="C851" s="58"/>
      <c r="D851" s="58"/>
      <c r="E851" s="58"/>
      <c r="F851" s="58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8"/>
    </row>
    <row r="852" ht="15.75" customHeight="1">
      <c r="A852" s="58"/>
      <c r="B852" s="58"/>
      <c r="C852" s="58"/>
      <c r="D852" s="58"/>
      <c r="E852" s="58"/>
      <c r="F852" s="58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8"/>
    </row>
    <row r="853" ht="15.75" customHeight="1">
      <c r="A853" s="58"/>
      <c r="B853" s="58"/>
      <c r="C853" s="58"/>
      <c r="D853" s="58"/>
      <c r="E853" s="58"/>
      <c r="F853" s="58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8"/>
    </row>
    <row r="854" ht="15.75" customHeight="1">
      <c r="A854" s="58"/>
      <c r="B854" s="58"/>
      <c r="C854" s="58"/>
      <c r="D854" s="58"/>
      <c r="E854" s="58"/>
      <c r="F854" s="58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</row>
    <row r="855" ht="15.75" customHeight="1">
      <c r="A855" s="58"/>
      <c r="B855" s="58"/>
      <c r="C855" s="58"/>
      <c r="D855" s="58"/>
      <c r="E855" s="58"/>
      <c r="F855" s="58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</row>
    <row r="856" ht="15.75" customHeight="1">
      <c r="A856" s="58"/>
      <c r="B856" s="58"/>
      <c r="C856" s="58"/>
      <c r="D856" s="58"/>
      <c r="E856" s="58"/>
      <c r="F856" s="58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</row>
    <row r="857" ht="15.75" customHeight="1">
      <c r="A857" s="58"/>
      <c r="B857" s="58"/>
      <c r="C857" s="58"/>
      <c r="D857" s="58"/>
      <c r="E857" s="58"/>
      <c r="F857" s="58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</row>
    <row r="858" ht="15.75" customHeight="1">
      <c r="A858" s="58"/>
      <c r="B858" s="58"/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</row>
    <row r="859" ht="15.75" customHeight="1">
      <c r="A859" s="58"/>
      <c r="B859" s="58"/>
      <c r="C859" s="58"/>
      <c r="D859" s="58"/>
      <c r="E859" s="58"/>
      <c r="F859" s="58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</row>
    <row r="860" ht="15.75" customHeight="1">
      <c r="A860" s="58"/>
      <c r="B860" s="58"/>
      <c r="C860" s="58"/>
      <c r="D860" s="58"/>
      <c r="E860" s="58"/>
      <c r="F860" s="58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8"/>
    </row>
    <row r="861" ht="15.75" customHeight="1">
      <c r="A861" s="58"/>
      <c r="B861" s="58"/>
      <c r="C861" s="58"/>
      <c r="D861" s="58"/>
      <c r="E861" s="58"/>
      <c r="F861" s="58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8"/>
    </row>
    <row r="862" ht="15.75" customHeight="1">
      <c r="A862" s="58"/>
      <c r="B862" s="58"/>
      <c r="C862" s="58"/>
      <c r="D862" s="58"/>
      <c r="E862" s="58"/>
      <c r="F862" s="58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8"/>
    </row>
    <row r="863" ht="15.75" customHeight="1">
      <c r="A863" s="58"/>
      <c r="B863" s="58"/>
      <c r="C863" s="58"/>
      <c r="D863" s="58"/>
      <c r="E863" s="58"/>
      <c r="F863" s="58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8"/>
    </row>
    <row r="864" ht="15.75" customHeight="1">
      <c r="A864" s="58"/>
      <c r="B864" s="58"/>
      <c r="C864" s="58"/>
      <c r="D864" s="58"/>
      <c r="E864" s="58"/>
      <c r="F864" s="58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8"/>
    </row>
    <row r="865" ht="15.75" customHeight="1">
      <c r="A865" s="58"/>
      <c r="B865" s="58"/>
      <c r="C865" s="58"/>
      <c r="D865" s="58"/>
      <c r="E865" s="58"/>
      <c r="F865" s="58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8"/>
    </row>
    <row r="866" ht="15.75" customHeight="1">
      <c r="A866" s="58"/>
      <c r="B866" s="58"/>
      <c r="C866" s="58"/>
      <c r="D866" s="58"/>
      <c r="E866" s="58"/>
      <c r="F866" s="58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8"/>
    </row>
    <row r="867" ht="15.75" customHeight="1">
      <c r="A867" s="58"/>
      <c r="B867" s="58"/>
      <c r="C867" s="58"/>
      <c r="D867" s="58"/>
      <c r="E867" s="58"/>
      <c r="F867" s="58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8"/>
    </row>
    <row r="868" ht="15.75" customHeight="1">
      <c r="A868" s="58"/>
      <c r="B868" s="58"/>
      <c r="C868" s="58"/>
      <c r="D868" s="58"/>
      <c r="E868" s="58"/>
      <c r="F868" s="58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8"/>
    </row>
    <row r="869" ht="15.75" customHeight="1">
      <c r="A869" s="58"/>
      <c r="B869" s="58"/>
      <c r="C869" s="58"/>
      <c r="D869" s="58"/>
      <c r="E869" s="58"/>
      <c r="F869" s="58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</row>
    <row r="870" ht="15.75" customHeight="1">
      <c r="A870" s="58"/>
      <c r="B870" s="58"/>
      <c r="C870" s="58"/>
      <c r="D870" s="58"/>
      <c r="E870" s="58"/>
      <c r="F870" s="58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8"/>
    </row>
    <row r="871" ht="15.75" customHeight="1">
      <c r="A871" s="58"/>
      <c r="B871" s="58"/>
      <c r="C871" s="58"/>
      <c r="D871" s="58"/>
      <c r="E871" s="58"/>
      <c r="F871" s="58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8"/>
    </row>
    <row r="872" ht="15.75" customHeight="1">
      <c r="A872" s="58"/>
      <c r="B872" s="58"/>
      <c r="C872" s="58"/>
      <c r="D872" s="58"/>
      <c r="E872" s="58"/>
      <c r="F872" s="58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</row>
    <row r="873" ht="15.75" customHeight="1">
      <c r="A873" s="58"/>
      <c r="B873" s="58"/>
      <c r="C873" s="58"/>
      <c r="D873" s="58"/>
      <c r="E873" s="58"/>
      <c r="F873" s="58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</row>
    <row r="874" ht="15.75" customHeight="1">
      <c r="A874" s="58"/>
      <c r="B874" s="58"/>
      <c r="C874" s="58"/>
      <c r="D874" s="58"/>
      <c r="E874" s="58"/>
      <c r="F874" s="58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</row>
    <row r="875" ht="15.75" customHeight="1">
      <c r="A875" s="58"/>
      <c r="B875" s="58"/>
      <c r="C875" s="58"/>
      <c r="D875" s="58"/>
      <c r="E875" s="58"/>
      <c r="F875" s="58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</row>
    <row r="876" ht="15.75" customHeight="1">
      <c r="A876" s="58"/>
      <c r="B876" s="58"/>
      <c r="C876" s="58"/>
      <c r="D876" s="58"/>
      <c r="E876" s="58"/>
      <c r="F876" s="58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</row>
    <row r="877" ht="15.75" customHeight="1">
      <c r="A877" s="58"/>
      <c r="B877" s="58"/>
      <c r="C877" s="58"/>
      <c r="D877" s="58"/>
      <c r="E877" s="58"/>
      <c r="F877" s="58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</row>
    <row r="878" ht="15.75" customHeight="1">
      <c r="A878" s="58"/>
      <c r="B878" s="58"/>
      <c r="C878" s="58"/>
      <c r="D878" s="58"/>
      <c r="E878" s="58"/>
      <c r="F878" s="58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8"/>
    </row>
    <row r="879" ht="15.75" customHeight="1">
      <c r="A879" s="58"/>
      <c r="B879" s="58"/>
      <c r="C879" s="58"/>
      <c r="D879" s="58"/>
      <c r="E879" s="58"/>
      <c r="F879" s="58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</row>
    <row r="880" ht="15.75" customHeight="1">
      <c r="A880" s="58"/>
      <c r="B880" s="58"/>
      <c r="C880" s="58"/>
      <c r="D880" s="58"/>
      <c r="E880" s="58"/>
      <c r="F880" s="58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</row>
    <row r="881" ht="15.75" customHeight="1">
      <c r="A881" s="58"/>
      <c r="B881" s="58"/>
      <c r="C881" s="58"/>
      <c r="D881" s="58"/>
      <c r="E881" s="58"/>
      <c r="F881" s="58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8"/>
    </row>
    <row r="882" ht="15.75" customHeight="1">
      <c r="A882" s="58"/>
      <c r="B882" s="58"/>
      <c r="C882" s="58"/>
      <c r="D882" s="58"/>
      <c r="E882" s="58"/>
      <c r="F882" s="58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</row>
    <row r="883" ht="15.75" customHeight="1">
      <c r="A883" s="58"/>
      <c r="B883" s="58"/>
      <c r="C883" s="58"/>
      <c r="D883" s="58"/>
      <c r="E883" s="58"/>
      <c r="F883" s="58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8"/>
    </row>
    <row r="884" ht="15.75" customHeight="1">
      <c r="A884" s="58"/>
      <c r="B884" s="58"/>
      <c r="C884" s="58"/>
      <c r="D884" s="58"/>
      <c r="E884" s="58"/>
      <c r="F884" s="58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8"/>
    </row>
    <row r="885" ht="15.75" customHeight="1">
      <c r="A885" s="58"/>
      <c r="B885" s="58"/>
      <c r="C885" s="58"/>
      <c r="D885" s="58"/>
      <c r="E885" s="58"/>
      <c r="F885" s="58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8"/>
    </row>
    <row r="886" ht="15.75" customHeight="1">
      <c r="A886" s="58"/>
      <c r="B886" s="58"/>
      <c r="C886" s="58"/>
      <c r="D886" s="58"/>
      <c r="E886" s="58"/>
      <c r="F886" s="58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8"/>
    </row>
    <row r="887" ht="15.75" customHeight="1">
      <c r="A887" s="58"/>
      <c r="B887" s="58"/>
      <c r="C887" s="58"/>
      <c r="D887" s="58"/>
      <c r="E887" s="58"/>
      <c r="F887" s="58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</row>
    <row r="888" ht="15.75" customHeight="1">
      <c r="A888" s="58"/>
      <c r="B888" s="58"/>
      <c r="C888" s="58"/>
      <c r="D888" s="58"/>
      <c r="E888" s="58"/>
      <c r="F888" s="58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8"/>
    </row>
    <row r="889" ht="15.75" customHeight="1">
      <c r="A889" s="58"/>
      <c r="B889" s="58"/>
      <c r="C889" s="58"/>
      <c r="D889" s="58"/>
      <c r="E889" s="58"/>
      <c r="F889" s="58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8"/>
    </row>
    <row r="890" ht="15.75" customHeight="1">
      <c r="A890" s="58"/>
      <c r="B890" s="58"/>
      <c r="C890" s="58"/>
      <c r="D890" s="58"/>
      <c r="E890" s="58"/>
      <c r="F890" s="58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</row>
    <row r="891" ht="15.75" customHeight="1">
      <c r="A891" s="58"/>
      <c r="B891" s="58"/>
      <c r="C891" s="58"/>
      <c r="D891" s="58"/>
      <c r="E891" s="58"/>
      <c r="F891" s="58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</row>
    <row r="892" ht="15.75" customHeight="1">
      <c r="A892" s="58"/>
      <c r="B892" s="58"/>
      <c r="C892" s="58"/>
      <c r="D892" s="58"/>
      <c r="E892" s="58"/>
      <c r="F892" s="58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</row>
    <row r="893" ht="15.75" customHeight="1">
      <c r="A893" s="58"/>
      <c r="B893" s="58"/>
      <c r="C893" s="58"/>
      <c r="D893" s="58"/>
      <c r="E893" s="58"/>
      <c r="F893" s="58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</row>
    <row r="894" ht="15.75" customHeight="1">
      <c r="A894" s="58"/>
      <c r="B894" s="58"/>
      <c r="C894" s="58"/>
      <c r="D894" s="58"/>
      <c r="E894" s="58"/>
      <c r="F894" s="58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</row>
    <row r="895" ht="15.75" customHeight="1">
      <c r="A895" s="58"/>
      <c r="B895" s="58"/>
      <c r="C895" s="58"/>
      <c r="D895" s="58"/>
      <c r="E895" s="58"/>
      <c r="F895" s="58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</row>
    <row r="896" ht="15.75" customHeight="1">
      <c r="A896" s="58"/>
      <c r="B896" s="58"/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</row>
    <row r="897" ht="15.75" customHeight="1">
      <c r="A897" s="58"/>
      <c r="B897" s="58"/>
      <c r="C897" s="58"/>
      <c r="D897" s="58"/>
      <c r="E897" s="58"/>
      <c r="F897" s="58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8"/>
    </row>
    <row r="898" ht="15.75" customHeight="1">
      <c r="A898" s="58"/>
      <c r="B898" s="58"/>
      <c r="C898" s="58"/>
      <c r="D898" s="58"/>
      <c r="E898" s="58"/>
      <c r="F898" s="58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8"/>
    </row>
    <row r="899" ht="15.75" customHeight="1">
      <c r="A899" s="58"/>
      <c r="B899" s="58"/>
      <c r="C899" s="58"/>
      <c r="D899" s="58"/>
      <c r="E899" s="58"/>
      <c r="F899" s="58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8"/>
    </row>
    <row r="900" ht="15.75" customHeight="1">
      <c r="A900" s="58"/>
      <c r="B900" s="58"/>
      <c r="C900" s="58"/>
      <c r="D900" s="58"/>
      <c r="E900" s="58"/>
      <c r="F900" s="58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</row>
    <row r="901" ht="15.75" customHeight="1">
      <c r="A901" s="58"/>
      <c r="B901" s="58"/>
      <c r="C901" s="58"/>
      <c r="D901" s="58"/>
      <c r="E901" s="58"/>
      <c r="F901" s="58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</row>
    <row r="902" ht="15.75" customHeight="1">
      <c r="A902" s="58"/>
      <c r="B902" s="58"/>
      <c r="C902" s="58"/>
      <c r="D902" s="58"/>
      <c r="E902" s="58"/>
      <c r="F902" s="58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</row>
    <row r="903" ht="15.75" customHeight="1">
      <c r="A903" s="58"/>
      <c r="B903" s="58"/>
      <c r="C903" s="58"/>
      <c r="D903" s="58"/>
      <c r="E903" s="58"/>
      <c r="F903" s="58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</row>
    <row r="904" ht="15.75" customHeight="1">
      <c r="A904" s="58"/>
      <c r="B904" s="58"/>
      <c r="C904" s="58"/>
      <c r="D904" s="58"/>
      <c r="E904" s="58"/>
      <c r="F904" s="58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</row>
    <row r="905" ht="15.75" customHeight="1">
      <c r="A905" s="58"/>
      <c r="B905" s="58"/>
      <c r="C905" s="58"/>
      <c r="D905" s="58"/>
      <c r="E905" s="58"/>
      <c r="F905" s="58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</row>
    <row r="906" ht="15.75" customHeight="1">
      <c r="A906" s="58"/>
      <c r="B906" s="58"/>
      <c r="C906" s="58"/>
      <c r="D906" s="58"/>
      <c r="E906" s="58"/>
      <c r="F906" s="58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</row>
    <row r="907" ht="15.75" customHeight="1">
      <c r="A907" s="58"/>
      <c r="B907" s="58"/>
      <c r="C907" s="58"/>
      <c r="D907" s="58"/>
      <c r="E907" s="58"/>
      <c r="F907" s="58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</row>
    <row r="908" ht="15.75" customHeight="1">
      <c r="A908" s="58"/>
      <c r="B908" s="58"/>
      <c r="C908" s="58"/>
      <c r="D908" s="58"/>
      <c r="E908" s="58"/>
      <c r="F908" s="58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</row>
    <row r="909" ht="15.75" customHeight="1">
      <c r="A909" s="58"/>
      <c r="B909" s="58"/>
      <c r="C909" s="58"/>
      <c r="D909" s="58"/>
      <c r="E909" s="58"/>
      <c r="F909" s="58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</row>
    <row r="910" ht="15.75" customHeight="1">
      <c r="A910" s="58"/>
      <c r="B910" s="58"/>
      <c r="C910" s="58"/>
      <c r="D910" s="58"/>
      <c r="E910" s="58"/>
      <c r="F910" s="58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</row>
    <row r="911" ht="15.75" customHeight="1">
      <c r="A911" s="58"/>
      <c r="B911" s="58"/>
      <c r="C911" s="58"/>
      <c r="D911" s="58"/>
      <c r="E911" s="58"/>
      <c r="F911" s="58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</row>
    <row r="912" ht="15.75" customHeight="1">
      <c r="A912" s="58"/>
      <c r="B912" s="58"/>
      <c r="C912" s="58"/>
      <c r="D912" s="58"/>
      <c r="E912" s="58"/>
      <c r="F912" s="58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</row>
    <row r="913" ht="15.75" customHeight="1">
      <c r="A913" s="58"/>
      <c r="B913" s="58"/>
      <c r="C913" s="58"/>
      <c r="D913" s="58"/>
      <c r="E913" s="58"/>
      <c r="F913" s="58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</row>
    <row r="914" ht="15.75" customHeight="1">
      <c r="A914" s="58"/>
      <c r="B914" s="58"/>
      <c r="C914" s="58"/>
      <c r="D914" s="58"/>
      <c r="E914" s="58"/>
      <c r="F914" s="58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</row>
    <row r="915" ht="15.75" customHeight="1">
      <c r="A915" s="58"/>
      <c r="B915" s="58"/>
      <c r="C915" s="58"/>
      <c r="D915" s="58"/>
      <c r="E915" s="58"/>
      <c r="F915" s="58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</row>
    <row r="916" ht="15.75" customHeight="1">
      <c r="A916" s="58"/>
      <c r="B916" s="58"/>
      <c r="C916" s="58"/>
      <c r="D916" s="58"/>
      <c r="E916" s="58"/>
      <c r="F916" s="58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</row>
    <row r="917" ht="15.75" customHeight="1">
      <c r="A917" s="58"/>
      <c r="B917" s="58"/>
      <c r="C917" s="58"/>
      <c r="D917" s="58"/>
      <c r="E917" s="58"/>
      <c r="F917" s="58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</row>
    <row r="918" ht="15.75" customHeight="1">
      <c r="A918" s="58"/>
      <c r="B918" s="58"/>
      <c r="C918" s="58"/>
      <c r="D918" s="58"/>
      <c r="E918" s="58"/>
      <c r="F918" s="58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</row>
    <row r="919" ht="15.75" customHeight="1">
      <c r="A919" s="58"/>
      <c r="B919" s="58"/>
      <c r="C919" s="58"/>
      <c r="D919" s="58"/>
      <c r="E919" s="58"/>
      <c r="F919" s="58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</row>
    <row r="920" ht="15.75" customHeight="1">
      <c r="A920" s="58"/>
      <c r="B920" s="58"/>
      <c r="C920" s="58"/>
      <c r="D920" s="58"/>
      <c r="E920" s="58"/>
      <c r="F920" s="58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</row>
    <row r="921" ht="15.75" customHeight="1">
      <c r="A921" s="58"/>
      <c r="B921" s="58"/>
      <c r="C921" s="58"/>
      <c r="D921" s="58"/>
      <c r="E921" s="58"/>
      <c r="F921" s="58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</row>
    <row r="922" ht="15.75" customHeight="1">
      <c r="A922" s="58"/>
      <c r="B922" s="58"/>
      <c r="C922" s="58"/>
      <c r="D922" s="58"/>
      <c r="E922" s="58"/>
      <c r="F922" s="58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</row>
    <row r="923" ht="15.75" customHeight="1">
      <c r="A923" s="58"/>
      <c r="B923" s="58"/>
      <c r="C923" s="58"/>
      <c r="D923" s="58"/>
      <c r="E923" s="58"/>
      <c r="F923" s="58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</row>
    <row r="924" ht="15.75" customHeight="1">
      <c r="A924" s="58"/>
      <c r="B924" s="58"/>
      <c r="C924" s="58"/>
      <c r="D924" s="58"/>
      <c r="E924" s="58"/>
      <c r="F924" s="58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</row>
    <row r="925" ht="15.75" customHeight="1">
      <c r="A925" s="58"/>
      <c r="B925" s="58"/>
      <c r="C925" s="58"/>
      <c r="D925" s="58"/>
      <c r="E925" s="58"/>
      <c r="F925" s="58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</row>
    <row r="926" ht="15.75" customHeight="1">
      <c r="A926" s="58"/>
      <c r="B926" s="58"/>
      <c r="C926" s="58"/>
      <c r="D926" s="58"/>
      <c r="E926" s="58"/>
      <c r="F926" s="58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</row>
    <row r="927" ht="15.75" customHeight="1">
      <c r="A927" s="58"/>
      <c r="B927" s="58"/>
      <c r="C927" s="58"/>
      <c r="D927" s="58"/>
      <c r="E927" s="58"/>
      <c r="F927" s="58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</row>
    <row r="928" ht="15.75" customHeight="1">
      <c r="A928" s="58"/>
      <c r="B928" s="58"/>
      <c r="C928" s="58"/>
      <c r="D928" s="58"/>
      <c r="E928" s="58"/>
      <c r="F928" s="58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</row>
    <row r="929" ht="15.75" customHeight="1">
      <c r="A929" s="58"/>
      <c r="B929" s="58"/>
      <c r="C929" s="58"/>
      <c r="D929" s="58"/>
      <c r="E929" s="58"/>
      <c r="F929" s="58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</row>
    <row r="930" ht="15.75" customHeight="1">
      <c r="A930" s="58"/>
      <c r="B930" s="58"/>
      <c r="C930" s="58"/>
      <c r="D930" s="58"/>
      <c r="E930" s="58"/>
      <c r="F930" s="58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</row>
    <row r="931" ht="15.75" customHeight="1">
      <c r="A931" s="58"/>
      <c r="B931" s="58"/>
      <c r="C931" s="58"/>
      <c r="D931" s="58"/>
      <c r="E931" s="58"/>
      <c r="F931" s="58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</row>
    <row r="932" ht="15.75" customHeight="1">
      <c r="A932" s="58"/>
      <c r="B932" s="58"/>
      <c r="C932" s="58"/>
      <c r="D932" s="58"/>
      <c r="E932" s="58"/>
      <c r="F932" s="58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8"/>
    </row>
    <row r="933" ht="15.75" customHeight="1">
      <c r="A933" s="58"/>
      <c r="B933" s="58"/>
      <c r="C933" s="58"/>
      <c r="D933" s="58"/>
      <c r="E933" s="58"/>
      <c r="F933" s="58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8"/>
    </row>
    <row r="934" ht="15.75" customHeight="1">
      <c r="A934" s="58"/>
      <c r="B934" s="58"/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8"/>
    </row>
    <row r="935" ht="15.75" customHeight="1">
      <c r="A935" s="58"/>
      <c r="B935" s="58"/>
      <c r="C935" s="58"/>
      <c r="D935" s="58"/>
      <c r="E935" s="58"/>
      <c r="F935" s="58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8"/>
    </row>
    <row r="936" ht="15.75" customHeight="1">
      <c r="A936" s="58"/>
      <c r="B936" s="58"/>
      <c r="C936" s="58"/>
      <c r="D936" s="58"/>
      <c r="E936" s="58"/>
      <c r="F936" s="58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8"/>
    </row>
    <row r="937" ht="15.75" customHeight="1">
      <c r="A937" s="58"/>
      <c r="B937" s="58"/>
      <c r="C937" s="58"/>
      <c r="D937" s="58"/>
      <c r="E937" s="58"/>
      <c r="F937" s="58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8"/>
    </row>
    <row r="938" ht="15.75" customHeight="1">
      <c r="A938" s="58"/>
      <c r="B938" s="58"/>
      <c r="C938" s="58"/>
      <c r="D938" s="58"/>
      <c r="E938" s="58"/>
      <c r="F938" s="58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8"/>
    </row>
    <row r="939" ht="15.75" customHeight="1">
      <c r="A939" s="58"/>
      <c r="B939" s="58"/>
      <c r="C939" s="58"/>
      <c r="D939" s="58"/>
      <c r="E939" s="58"/>
      <c r="F939" s="58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8"/>
    </row>
    <row r="940" ht="15.75" customHeight="1">
      <c r="A940" s="58"/>
      <c r="B940" s="58"/>
      <c r="C940" s="58"/>
      <c r="D940" s="58"/>
      <c r="E940" s="58"/>
      <c r="F940" s="58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58"/>
    </row>
    <row r="941" ht="15.75" customHeight="1">
      <c r="A941" s="58"/>
      <c r="B941" s="58"/>
      <c r="C941" s="58"/>
      <c r="D941" s="58"/>
      <c r="E941" s="58"/>
      <c r="F941" s="58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58"/>
    </row>
    <row r="942" ht="15.75" customHeight="1">
      <c r="A942" s="58"/>
      <c r="B942" s="58"/>
      <c r="C942" s="58"/>
      <c r="D942" s="58"/>
      <c r="E942" s="58"/>
      <c r="F942" s="58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58"/>
    </row>
    <row r="943" ht="15.75" customHeight="1">
      <c r="A943" s="58"/>
      <c r="B943" s="58"/>
      <c r="C943" s="58"/>
      <c r="D943" s="58"/>
      <c r="E943" s="58"/>
      <c r="F943" s="58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58"/>
    </row>
    <row r="944" ht="15.75" customHeight="1">
      <c r="A944" s="58"/>
      <c r="B944" s="58"/>
      <c r="C944" s="58"/>
      <c r="D944" s="58"/>
      <c r="E944" s="58"/>
      <c r="F944" s="58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</row>
    <row r="945" ht="15.75" customHeight="1">
      <c r="A945" s="58"/>
      <c r="B945" s="58"/>
      <c r="C945" s="58"/>
      <c r="D945" s="58"/>
      <c r="E945" s="58"/>
      <c r="F945" s="58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</row>
    <row r="946" ht="15.75" customHeight="1">
      <c r="A946" s="58"/>
      <c r="B946" s="58"/>
      <c r="C946" s="58"/>
      <c r="D946" s="58"/>
      <c r="E946" s="58"/>
      <c r="F946" s="58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</row>
    <row r="947" ht="15.75" customHeight="1">
      <c r="A947" s="58"/>
      <c r="B947" s="58"/>
      <c r="C947" s="58"/>
      <c r="D947" s="58"/>
      <c r="E947" s="58"/>
      <c r="F947" s="58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</row>
    <row r="948" ht="15.75" customHeight="1">
      <c r="A948" s="58"/>
      <c r="B948" s="58"/>
      <c r="C948" s="58"/>
      <c r="D948" s="58"/>
      <c r="E948" s="58"/>
      <c r="F948" s="58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</row>
    <row r="949" ht="15.75" customHeight="1">
      <c r="A949" s="58"/>
      <c r="B949" s="58"/>
      <c r="C949" s="58"/>
      <c r="D949" s="58"/>
      <c r="E949" s="58"/>
      <c r="F949" s="58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</row>
    <row r="950" ht="15.75" customHeight="1">
      <c r="A950" s="58"/>
      <c r="B950" s="58"/>
      <c r="C950" s="58"/>
      <c r="D950" s="58"/>
      <c r="E950" s="58"/>
      <c r="F950" s="58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58"/>
    </row>
    <row r="951" ht="15.75" customHeight="1">
      <c r="A951" s="58"/>
      <c r="B951" s="58"/>
      <c r="C951" s="58"/>
      <c r="D951" s="58"/>
      <c r="E951" s="58"/>
      <c r="F951" s="58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58"/>
    </row>
    <row r="952" ht="15.75" customHeight="1">
      <c r="A952" s="58"/>
      <c r="B952" s="58"/>
      <c r="C952" s="58"/>
      <c r="D952" s="58"/>
      <c r="E952" s="58"/>
      <c r="F952" s="58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58"/>
    </row>
    <row r="953" ht="15.75" customHeight="1">
      <c r="A953" s="58"/>
      <c r="B953" s="58"/>
      <c r="C953" s="58"/>
      <c r="D953" s="58"/>
      <c r="E953" s="58"/>
      <c r="F953" s="58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58"/>
    </row>
    <row r="954" ht="15.75" customHeight="1">
      <c r="A954" s="58"/>
      <c r="B954" s="58"/>
      <c r="C954" s="58"/>
      <c r="D954" s="58"/>
      <c r="E954" s="58"/>
      <c r="F954" s="58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58"/>
    </row>
    <row r="955" ht="15.75" customHeight="1">
      <c r="A955" s="58"/>
      <c r="B955" s="58"/>
      <c r="C955" s="58"/>
      <c r="D955" s="58"/>
      <c r="E955" s="58"/>
      <c r="F955" s="58"/>
      <c r="G955" s="58"/>
      <c r="H955" s="58"/>
      <c r="I955" s="58"/>
      <c r="J955" s="58"/>
      <c r="K955" s="58"/>
      <c r="L955" s="58"/>
      <c r="M955" s="58"/>
      <c r="N955" s="58"/>
      <c r="O955" s="58"/>
      <c r="P955" s="58"/>
      <c r="Q955" s="58"/>
    </row>
    <row r="956" ht="15.75" customHeight="1">
      <c r="A956" s="58"/>
      <c r="B956" s="58"/>
      <c r="C956" s="58"/>
      <c r="D956" s="58"/>
      <c r="E956" s="58"/>
      <c r="F956" s="58"/>
      <c r="G956" s="58"/>
      <c r="H956" s="58"/>
      <c r="I956" s="58"/>
      <c r="J956" s="58"/>
      <c r="K956" s="58"/>
      <c r="L956" s="58"/>
      <c r="M956" s="58"/>
      <c r="N956" s="58"/>
      <c r="O956" s="58"/>
      <c r="P956" s="58"/>
      <c r="Q956" s="58"/>
    </row>
    <row r="957" ht="15.75" customHeight="1">
      <c r="A957" s="58"/>
      <c r="B957" s="58"/>
      <c r="C957" s="58"/>
      <c r="D957" s="58"/>
      <c r="E957" s="58"/>
      <c r="F957" s="58"/>
      <c r="G957" s="58"/>
      <c r="H957" s="58"/>
      <c r="I957" s="58"/>
      <c r="J957" s="58"/>
      <c r="K957" s="58"/>
      <c r="L957" s="58"/>
      <c r="M957" s="58"/>
      <c r="N957" s="58"/>
      <c r="O957" s="58"/>
      <c r="P957" s="58"/>
      <c r="Q957" s="58"/>
    </row>
    <row r="958" ht="15.75" customHeight="1">
      <c r="A958" s="58"/>
      <c r="B958" s="58"/>
      <c r="C958" s="58"/>
      <c r="D958" s="58"/>
      <c r="E958" s="58"/>
      <c r="F958" s="58"/>
      <c r="G958" s="58"/>
      <c r="H958" s="58"/>
      <c r="I958" s="58"/>
      <c r="J958" s="58"/>
      <c r="K958" s="58"/>
      <c r="L958" s="58"/>
      <c r="M958" s="58"/>
      <c r="N958" s="58"/>
      <c r="O958" s="58"/>
      <c r="P958" s="58"/>
      <c r="Q958" s="58"/>
    </row>
    <row r="959" ht="15.75" customHeight="1">
      <c r="A959" s="58"/>
      <c r="B959" s="58"/>
      <c r="C959" s="58"/>
      <c r="D959" s="58"/>
      <c r="E959" s="58"/>
      <c r="F959" s="58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58"/>
    </row>
    <row r="960" ht="15.75" customHeight="1">
      <c r="A960" s="58"/>
      <c r="B960" s="58"/>
      <c r="C960" s="58"/>
      <c r="D960" s="58"/>
      <c r="E960" s="58"/>
      <c r="F960" s="58"/>
      <c r="G960" s="58"/>
      <c r="H960" s="58"/>
      <c r="I960" s="58"/>
      <c r="J960" s="58"/>
      <c r="K960" s="58"/>
      <c r="L960" s="58"/>
      <c r="M960" s="58"/>
      <c r="N960" s="58"/>
      <c r="O960" s="58"/>
      <c r="P960" s="58"/>
      <c r="Q960" s="58"/>
    </row>
    <row r="961" ht="15.75" customHeight="1">
      <c r="A961" s="58"/>
      <c r="B961" s="58"/>
      <c r="C961" s="58"/>
      <c r="D961" s="58"/>
      <c r="E961" s="58"/>
      <c r="F961" s="58"/>
      <c r="G961" s="58"/>
      <c r="H961" s="58"/>
      <c r="I961" s="58"/>
      <c r="J961" s="58"/>
      <c r="K961" s="58"/>
      <c r="L961" s="58"/>
      <c r="M961" s="58"/>
      <c r="N961" s="58"/>
      <c r="O961" s="58"/>
      <c r="P961" s="58"/>
      <c r="Q961" s="58"/>
    </row>
    <row r="962" ht="15.75" customHeight="1">
      <c r="A962" s="58"/>
      <c r="B962" s="58"/>
      <c r="C962" s="58"/>
      <c r="D962" s="58"/>
      <c r="E962" s="58"/>
      <c r="F962" s="58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58"/>
    </row>
    <row r="963" ht="15.75" customHeight="1">
      <c r="A963" s="58"/>
      <c r="B963" s="58"/>
      <c r="C963" s="58"/>
      <c r="D963" s="58"/>
      <c r="E963" s="58"/>
      <c r="F963" s="58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58"/>
    </row>
    <row r="964" ht="15.75" customHeight="1">
      <c r="A964" s="58"/>
      <c r="B964" s="58"/>
      <c r="C964" s="58"/>
      <c r="D964" s="58"/>
      <c r="E964" s="58"/>
      <c r="F964" s="58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58"/>
    </row>
    <row r="965" ht="15.75" customHeight="1">
      <c r="A965" s="58"/>
      <c r="B965" s="58"/>
      <c r="C965" s="58"/>
      <c r="D965" s="58"/>
      <c r="E965" s="58"/>
      <c r="F965" s="58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58"/>
    </row>
    <row r="966" ht="15.75" customHeight="1">
      <c r="A966" s="58"/>
      <c r="B966" s="58"/>
      <c r="C966" s="58"/>
      <c r="D966" s="58"/>
      <c r="E966" s="58"/>
      <c r="F966" s="58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58"/>
    </row>
    <row r="967" ht="15.75" customHeight="1">
      <c r="A967" s="58"/>
      <c r="B967" s="58"/>
      <c r="C967" s="58"/>
      <c r="D967" s="58"/>
      <c r="E967" s="58"/>
      <c r="F967" s="58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8"/>
    </row>
    <row r="968" ht="15.75" customHeight="1">
      <c r="A968" s="58"/>
      <c r="B968" s="58"/>
      <c r="C968" s="58"/>
      <c r="D968" s="58"/>
      <c r="E968" s="58"/>
      <c r="F968" s="58"/>
      <c r="G968" s="58"/>
      <c r="H968" s="58"/>
      <c r="I968" s="58"/>
      <c r="J968" s="58"/>
      <c r="K968" s="58"/>
      <c r="L968" s="58"/>
      <c r="M968" s="58"/>
      <c r="N968" s="58"/>
      <c r="O968" s="58"/>
      <c r="P968" s="58"/>
      <c r="Q968" s="58"/>
    </row>
    <row r="969" ht="15.75" customHeight="1">
      <c r="A969" s="58"/>
      <c r="B969" s="58"/>
      <c r="C969" s="58"/>
      <c r="D969" s="58"/>
      <c r="E969" s="58"/>
      <c r="F969" s="58"/>
      <c r="G969" s="58"/>
      <c r="H969" s="58"/>
      <c r="I969" s="58"/>
      <c r="J969" s="58"/>
      <c r="K969" s="58"/>
      <c r="L969" s="58"/>
      <c r="M969" s="58"/>
      <c r="N969" s="58"/>
      <c r="O969" s="58"/>
      <c r="P969" s="58"/>
      <c r="Q969" s="58"/>
    </row>
    <row r="970" ht="15.75" customHeight="1">
      <c r="A970" s="58"/>
      <c r="B970" s="58"/>
      <c r="C970" s="58"/>
      <c r="D970" s="58"/>
      <c r="E970" s="58"/>
      <c r="F970" s="58"/>
      <c r="G970" s="58"/>
      <c r="H970" s="58"/>
      <c r="I970" s="58"/>
      <c r="J970" s="58"/>
      <c r="K970" s="58"/>
      <c r="L970" s="58"/>
      <c r="M970" s="58"/>
      <c r="N970" s="58"/>
      <c r="O970" s="58"/>
      <c r="P970" s="58"/>
      <c r="Q970" s="58"/>
    </row>
    <row r="971" ht="15.75" customHeight="1">
      <c r="A971" s="58"/>
      <c r="B971" s="58"/>
      <c r="C971" s="58"/>
      <c r="D971" s="58"/>
      <c r="E971" s="58"/>
      <c r="F971" s="58"/>
      <c r="G971" s="58"/>
      <c r="H971" s="58"/>
      <c r="I971" s="58"/>
      <c r="J971" s="58"/>
      <c r="K971" s="58"/>
      <c r="L971" s="58"/>
      <c r="M971" s="58"/>
      <c r="N971" s="58"/>
      <c r="O971" s="58"/>
      <c r="P971" s="58"/>
      <c r="Q971" s="58"/>
    </row>
    <row r="972" ht="15.75" customHeight="1">
      <c r="A972" s="58"/>
      <c r="B972" s="58"/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58"/>
      <c r="P972" s="58"/>
      <c r="Q972" s="58"/>
    </row>
    <row r="973" ht="15.75" customHeight="1">
      <c r="A973" s="58"/>
      <c r="B973" s="58"/>
      <c r="C973" s="58"/>
      <c r="D973" s="58"/>
      <c r="E973" s="58"/>
      <c r="F973" s="58"/>
      <c r="G973" s="58"/>
      <c r="H973" s="58"/>
      <c r="I973" s="58"/>
      <c r="J973" s="58"/>
      <c r="K973" s="58"/>
      <c r="L973" s="58"/>
      <c r="M973" s="58"/>
      <c r="N973" s="58"/>
      <c r="O973" s="58"/>
      <c r="P973" s="58"/>
      <c r="Q973" s="58"/>
    </row>
    <row r="974" ht="15.75" customHeight="1">
      <c r="A974" s="58"/>
      <c r="B974" s="58"/>
      <c r="C974" s="58"/>
      <c r="D974" s="58"/>
      <c r="E974" s="58"/>
      <c r="F974" s="58"/>
      <c r="G974" s="58"/>
      <c r="H974" s="58"/>
      <c r="I974" s="58"/>
      <c r="J974" s="58"/>
      <c r="K974" s="58"/>
      <c r="L974" s="58"/>
      <c r="M974" s="58"/>
      <c r="N974" s="58"/>
      <c r="O974" s="58"/>
      <c r="P974" s="58"/>
      <c r="Q974" s="58"/>
    </row>
    <row r="975" ht="15.75" customHeight="1">
      <c r="A975" s="58"/>
      <c r="B975" s="58"/>
      <c r="C975" s="58"/>
      <c r="D975" s="58"/>
      <c r="E975" s="58"/>
      <c r="F975" s="58"/>
      <c r="G975" s="58"/>
      <c r="H975" s="58"/>
      <c r="I975" s="58"/>
      <c r="J975" s="58"/>
      <c r="K975" s="58"/>
      <c r="L975" s="58"/>
      <c r="M975" s="58"/>
      <c r="N975" s="58"/>
      <c r="O975" s="58"/>
      <c r="P975" s="58"/>
      <c r="Q975" s="58"/>
    </row>
    <row r="976" ht="15.75" customHeight="1">
      <c r="A976" s="58"/>
      <c r="B976" s="58"/>
      <c r="C976" s="58"/>
      <c r="D976" s="58"/>
      <c r="E976" s="58"/>
      <c r="F976" s="58"/>
      <c r="G976" s="58"/>
      <c r="H976" s="58"/>
      <c r="I976" s="58"/>
      <c r="J976" s="58"/>
      <c r="K976" s="58"/>
      <c r="L976" s="58"/>
      <c r="M976" s="58"/>
      <c r="N976" s="58"/>
      <c r="O976" s="58"/>
      <c r="P976" s="58"/>
      <c r="Q976" s="58"/>
    </row>
    <row r="977" ht="15.75" customHeight="1">
      <c r="A977" s="58"/>
      <c r="B977" s="58"/>
      <c r="C977" s="58"/>
      <c r="D977" s="58"/>
      <c r="E977" s="58"/>
      <c r="F977" s="58"/>
      <c r="G977" s="58"/>
      <c r="H977" s="58"/>
      <c r="I977" s="58"/>
      <c r="J977" s="58"/>
      <c r="K977" s="58"/>
      <c r="L977" s="58"/>
      <c r="M977" s="58"/>
      <c r="N977" s="58"/>
      <c r="O977" s="58"/>
      <c r="P977" s="58"/>
      <c r="Q977" s="58"/>
    </row>
    <row r="978" ht="15.75" customHeight="1">
      <c r="A978" s="58"/>
      <c r="B978" s="58"/>
      <c r="C978" s="58"/>
      <c r="D978" s="58"/>
      <c r="E978" s="58"/>
      <c r="F978" s="58"/>
      <c r="G978" s="58"/>
      <c r="H978" s="58"/>
      <c r="I978" s="58"/>
      <c r="J978" s="58"/>
      <c r="K978" s="58"/>
      <c r="L978" s="58"/>
      <c r="M978" s="58"/>
      <c r="N978" s="58"/>
      <c r="O978" s="58"/>
      <c r="P978" s="58"/>
      <c r="Q978" s="58"/>
    </row>
    <row r="979" ht="15.75" customHeight="1">
      <c r="A979" s="58"/>
      <c r="B979" s="58"/>
      <c r="C979" s="58"/>
      <c r="D979" s="58"/>
      <c r="E979" s="58"/>
      <c r="F979" s="58"/>
      <c r="G979" s="58"/>
      <c r="H979" s="58"/>
      <c r="I979" s="58"/>
      <c r="J979" s="58"/>
      <c r="K979" s="58"/>
      <c r="L979" s="58"/>
      <c r="M979" s="58"/>
      <c r="N979" s="58"/>
      <c r="O979" s="58"/>
      <c r="P979" s="58"/>
      <c r="Q979" s="58"/>
    </row>
    <row r="980" ht="15.75" customHeight="1">
      <c r="A980" s="58"/>
      <c r="B980" s="58"/>
      <c r="C980" s="58"/>
      <c r="D980" s="58"/>
      <c r="E980" s="58"/>
      <c r="F980" s="58"/>
      <c r="G980" s="58"/>
      <c r="H980" s="58"/>
      <c r="I980" s="58"/>
      <c r="J980" s="58"/>
      <c r="K980" s="58"/>
      <c r="L980" s="58"/>
      <c r="M980" s="58"/>
      <c r="N980" s="58"/>
      <c r="O980" s="58"/>
      <c r="P980" s="58"/>
      <c r="Q980" s="58"/>
    </row>
    <row r="981" ht="15.75" customHeight="1">
      <c r="A981" s="58"/>
      <c r="B981" s="58"/>
      <c r="C981" s="58"/>
      <c r="D981" s="58"/>
      <c r="E981" s="58"/>
      <c r="F981" s="58"/>
      <c r="G981" s="58"/>
      <c r="H981" s="58"/>
      <c r="I981" s="58"/>
      <c r="J981" s="58"/>
      <c r="K981" s="58"/>
      <c r="L981" s="58"/>
      <c r="M981" s="58"/>
      <c r="N981" s="58"/>
      <c r="O981" s="58"/>
      <c r="P981" s="58"/>
      <c r="Q981" s="58"/>
    </row>
    <row r="982" ht="15.75" customHeight="1">
      <c r="A982" s="58"/>
      <c r="B982" s="58"/>
      <c r="C982" s="58"/>
      <c r="D982" s="58"/>
      <c r="E982" s="58"/>
      <c r="F982" s="58"/>
      <c r="G982" s="58"/>
      <c r="H982" s="58"/>
      <c r="I982" s="58"/>
      <c r="J982" s="58"/>
      <c r="K982" s="58"/>
      <c r="L982" s="58"/>
      <c r="M982" s="58"/>
      <c r="N982" s="58"/>
      <c r="O982" s="58"/>
      <c r="P982" s="58"/>
      <c r="Q982" s="58"/>
    </row>
    <row r="983" ht="15.75" customHeight="1">
      <c r="A983" s="58"/>
      <c r="B983" s="58"/>
      <c r="C983" s="58"/>
      <c r="D983" s="58"/>
      <c r="E983" s="58"/>
      <c r="F983" s="58"/>
      <c r="G983" s="58"/>
      <c r="H983" s="58"/>
      <c r="I983" s="58"/>
      <c r="J983" s="58"/>
      <c r="K983" s="58"/>
      <c r="L983" s="58"/>
      <c r="M983" s="58"/>
      <c r="N983" s="58"/>
      <c r="O983" s="58"/>
      <c r="P983" s="58"/>
      <c r="Q983" s="58"/>
    </row>
    <row r="984" ht="15.75" customHeight="1">
      <c r="A984" s="58"/>
      <c r="B984" s="58"/>
      <c r="C984" s="58"/>
      <c r="D984" s="58"/>
      <c r="E984" s="58"/>
      <c r="F984" s="58"/>
      <c r="G984" s="58"/>
      <c r="H984" s="58"/>
      <c r="I984" s="58"/>
      <c r="J984" s="58"/>
      <c r="K984" s="58"/>
      <c r="L984" s="58"/>
      <c r="M984" s="58"/>
      <c r="N984" s="58"/>
      <c r="O984" s="58"/>
      <c r="P984" s="58"/>
      <c r="Q984" s="58"/>
    </row>
    <row r="985" ht="15.75" customHeight="1">
      <c r="A985" s="58"/>
      <c r="B985" s="58"/>
      <c r="C985" s="58"/>
      <c r="D985" s="58"/>
      <c r="E985" s="58"/>
      <c r="F985" s="58"/>
      <c r="G985" s="58"/>
      <c r="H985" s="58"/>
      <c r="I985" s="58"/>
      <c r="J985" s="58"/>
      <c r="K985" s="58"/>
      <c r="L985" s="58"/>
      <c r="M985" s="58"/>
      <c r="N985" s="58"/>
      <c r="O985" s="58"/>
      <c r="P985" s="58"/>
      <c r="Q985" s="58"/>
    </row>
    <row r="986" ht="15.75" customHeight="1">
      <c r="A986" s="58"/>
      <c r="B986" s="58"/>
      <c r="C986" s="58"/>
      <c r="D986" s="58"/>
      <c r="E986" s="58"/>
      <c r="F986" s="58"/>
      <c r="G986" s="58"/>
      <c r="H986" s="58"/>
      <c r="I986" s="58"/>
      <c r="J986" s="58"/>
      <c r="K986" s="58"/>
      <c r="L986" s="58"/>
      <c r="M986" s="58"/>
      <c r="N986" s="58"/>
      <c r="O986" s="58"/>
      <c r="P986" s="58"/>
      <c r="Q986" s="58"/>
    </row>
    <row r="987" ht="15.75" customHeight="1">
      <c r="A987" s="58"/>
      <c r="B987" s="58"/>
      <c r="C987" s="58"/>
      <c r="D987" s="58"/>
      <c r="E987" s="58"/>
      <c r="F987" s="58"/>
      <c r="G987" s="58"/>
      <c r="H987" s="58"/>
      <c r="I987" s="58"/>
      <c r="J987" s="58"/>
      <c r="K987" s="58"/>
      <c r="L987" s="58"/>
      <c r="M987" s="58"/>
      <c r="N987" s="58"/>
      <c r="O987" s="58"/>
      <c r="P987" s="58"/>
      <c r="Q987" s="58"/>
    </row>
    <row r="988" ht="15.75" customHeight="1">
      <c r="A988" s="58"/>
      <c r="B988" s="58"/>
      <c r="C988" s="58"/>
      <c r="D988" s="58"/>
      <c r="E988" s="58"/>
      <c r="F988" s="58"/>
      <c r="G988" s="58"/>
      <c r="H988" s="58"/>
      <c r="I988" s="58"/>
      <c r="J988" s="58"/>
      <c r="K988" s="58"/>
      <c r="L988" s="58"/>
      <c r="M988" s="58"/>
      <c r="N988" s="58"/>
      <c r="O988" s="58"/>
      <c r="P988" s="58"/>
      <c r="Q988" s="58"/>
    </row>
    <row r="989" ht="15.75" customHeight="1">
      <c r="A989" s="58"/>
      <c r="B989" s="58"/>
      <c r="C989" s="58"/>
      <c r="D989" s="58"/>
      <c r="E989" s="58"/>
      <c r="F989" s="58"/>
      <c r="G989" s="58"/>
      <c r="H989" s="58"/>
      <c r="I989" s="58"/>
      <c r="J989" s="58"/>
      <c r="K989" s="58"/>
      <c r="L989" s="58"/>
      <c r="M989" s="58"/>
      <c r="N989" s="58"/>
      <c r="O989" s="58"/>
      <c r="P989" s="58"/>
      <c r="Q989" s="58"/>
    </row>
    <row r="990" ht="15.75" customHeight="1">
      <c r="A990" s="58"/>
      <c r="B990" s="58"/>
      <c r="C990" s="58"/>
      <c r="D990" s="58"/>
      <c r="E990" s="58"/>
      <c r="F990" s="58"/>
      <c r="G990" s="58"/>
      <c r="H990" s="58"/>
      <c r="I990" s="58"/>
      <c r="J990" s="58"/>
      <c r="K990" s="58"/>
      <c r="L990" s="58"/>
      <c r="M990" s="58"/>
      <c r="N990" s="58"/>
      <c r="O990" s="58"/>
      <c r="P990" s="58"/>
      <c r="Q990" s="58"/>
    </row>
    <row r="991" ht="15.75" customHeight="1">
      <c r="A991" s="58"/>
      <c r="B991" s="58"/>
      <c r="C991" s="58"/>
      <c r="D991" s="58"/>
      <c r="E991" s="58"/>
      <c r="F991" s="58"/>
      <c r="G991" s="58"/>
      <c r="H991" s="58"/>
      <c r="I991" s="58"/>
      <c r="J991" s="58"/>
      <c r="K991" s="58"/>
      <c r="L991" s="58"/>
      <c r="M991" s="58"/>
      <c r="N991" s="58"/>
      <c r="O991" s="58"/>
      <c r="P991" s="58"/>
      <c r="Q991" s="58"/>
    </row>
    <row r="992" ht="15.75" customHeight="1">
      <c r="A992" s="58"/>
      <c r="B992" s="58"/>
      <c r="C992" s="58"/>
      <c r="D992" s="58"/>
      <c r="E992" s="58"/>
      <c r="F992" s="58"/>
      <c r="G992" s="58"/>
      <c r="H992" s="58"/>
      <c r="I992" s="58"/>
      <c r="J992" s="58"/>
      <c r="K992" s="58"/>
      <c r="L992" s="58"/>
      <c r="M992" s="58"/>
      <c r="N992" s="58"/>
      <c r="O992" s="58"/>
      <c r="P992" s="58"/>
      <c r="Q992" s="58"/>
    </row>
    <row r="993" ht="15.75" customHeight="1">
      <c r="A993" s="58"/>
      <c r="B993" s="58"/>
      <c r="C993" s="58"/>
      <c r="D993" s="58"/>
      <c r="E993" s="58"/>
      <c r="F993" s="58"/>
      <c r="G993" s="58"/>
      <c r="H993" s="58"/>
      <c r="I993" s="58"/>
      <c r="J993" s="58"/>
      <c r="K993" s="58"/>
      <c r="L993" s="58"/>
      <c r="M993" s="58"/>
      <c r="N993" s="58"/>
      <c r="O993" s="58"/>
      <c r="P993" s="58"/>
      <c r="Q993" s="58"/>
    </row>
    <row r="994" ht="15.75" customHeight="1">
      <c r="A994" s="58"/>
      <c r="B994" s="58"/>
      <c r="C994" s="58"/>
      <c r="D994" s="58"/>
      <c r="E994" s="58"/>
      <c r="F994" s="58"/>
      <c r="G994" s="58"/>
      <c r="H994" s="58"/>
      <c r="I994" s="58"/>
      <c r="J994" s="58"/>
      <c r="K994" s="58"/>
      <c r="L994" s="58"/>
      <c r="M994" s="58"/>
      <c r="N994" s="58"/>
      <c r="O994" s="58"/>
      <c r="P994" s="58"/>
      <c r="Q994" s="58"/>
    </row>
    <row r="995" ht="15.75" customHeight="1">
      <c r="A995" s="58"/>
      <c r="B995" s="58"/>
      <c r="C995" s="58"/>
      <c r="D995" s="58"/>
      <c r="E995" s="58"/>
      <c r="F995" s="58"/>
      <c r="G995" s="58"/>
      <c r="H995" s="58"/>
      <c r="I995" s="58"/>
      <c r="J995" s="58"/>
      <c r="K995" s="58"/>
      <c r="L995" s="58"/>
      <c r="M995" s="58"/>
      <c r="N995" s="58"/>
      <c r="O995" s="58"/>
      <c r="P995" s="58"/>
      <c r="Q995" s="58"/>
    </row>
    <row r="996" ht="15.75" customHeight="1">
      <c r="A996" s="58"/>
      <c r="B996" s="58"/>
      <c r="C996" s="58"/>
      <c r="D996" s="58"/>
      <c r="E996" s="58"/>
      <c r="F996" s="58"/>
      <c r="G996" s="58"/>
      <c r="H996" s="58"/>
      <c r="I996" s="58"/>
      <c r="J996" s="58"/>
      <c r="K996" s="58"/>
      <c r="L996" s="58"/>
      <c r="M996" s="58"/>
      <c r="N996" s="58"/>
      <c r="O996" s="58"/>
      <c r="P996" s="58"/>
      <c r="Q996" s="58"/>
    </row>
    <row r="997" ht="15.75" customHeight="1">
      <c r="A997" s="58"/>
      <c r="B997" s="58"/>
      <c r="C997" s="58"/>
      <c r="D997" s="58"/>
      <c r="E997" s="58"/>
      <c r="F997" s="58"/>
      <c r="G997" s="58"/>
      <c r="H997" s="58"/>
      <c r="I997" s="58"/>
      <c r="J997" s="58"/>
      <c r="K997" s="58"/>
      <c r="L997" s="58"/>
      <c r="M997" s="58"/>
      <c r="N997" s="58"/>
      <c r="O997" s="58"/>
      <c r="P997" s="58"/>
      <c r="Q997" s="58"/>
    </row>
    <row r="998" ht="15.75" customHeight="1">
      <c r="A998" s="58"/>
      <c r="B998" s="58"/>
      <c r="C998" s="58"/>
      <c r="D998" s="58"/>
      <c r="E998" s="58"/>
      <c r="F998" s="58"/>
      <c r="G998" s="58"/>
      <c r="H998" s="58"/>
      <c r="I998" s="58"/>
      <c r="J998" s="58"/>
      <c r="K998" s="58"/>
      <c r="L998" s="58"/>
      <c r="M998" s="58"/>
      <c r="N998" s="58"/>
      <c r="O998" s="58"/>
      <c r="P998" s="58"/>
      <c r="Q998" s="58"/>
    </row>
    <row r="999" ht="15.75" customHeight="1">
      <c r="A999" s="58"/>
      <c r="B999" s="58"/>
      <c r="C999" s="58"/>
      <c r="D999" s="58"/>
      <c r="E999" s="58"/>
      <c r="F999" s="58"/>
      <c r="G999" s="58"/>
      <c r="H999" s="58"/>
      <c r="I999" s="58"/>
      <c r="J999" s="58"/>
      <c r="K999" s="58"/>
      <c r="L999" s="58"/>
      <c r="M999" s="58"/>
      <c r="N999" s="58"/>
      <c r="O999" s="58"/>
      <c r="P999" s="58"/>
      <c r="Q999" s="58"/>
    </row>
    <row r="1000" ht="15.75" customHeight="1">
      <c r="A1000" s="58"/>
      <c r="B1000" s="58"/>
      <c r="C1000" s="58"/>
      <c r="D1000" s="58"/>
      <c r="E1000" s="58"/>
      <c r="F1000" s="58"/>
      <c r="G1000" s="58"/>
      <c r="H1000" s="58"/>
      <c r="I1000" s="58"/>
      <c r="J1000" s="58"/>
      <c r="K1000" s="58"/>
      <c r="L1000" s="58"/>
      <c r="M1000" s="58"/>
      <c r="N1000" s="58"/>
      <c r="O1000" s="58"/>
      <c r="P1000" s="58"/>
      <c r="Q1000" s="58"/>
    </row>
    <row r="1001" ht="15.75" customHeight="1">
      <c r="A1001" s="58"/>
      <c r="B1001" s="58"/>
      <c r="C1001" s="58"/>
      <c r="D1001" s="58"/>
      <c r="E1001" s="58"/>
      <c r="F1001" s="58"/>
      <c r="G1001" s="58"/>
      <c r="H1001" s="58"/>
      <c r="I1001" s="58"/>
      <c r="J1001" s="58"/>
      <c r="K1001" s="58"/>
      <c r="L1001" s="58"/>
      <c r="M1001" s="58"/>
      <c r="N1001" s="58"/>
      <c r="O1001" s="58"/>
      <c r="P1001" s="58"/>
      <c r="Q1001" s="58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7.5"/>
    <col customWidth="1" min="2" max="20" width="10.63"/>
  </cols>
  <sheetData>
    <row r="1">
      <c r="A1" s="55" t="s">
        <v>94</v>
      </c>
      <c r="B1" s="56">
        <v>45915.0</v>
      </c>
      <c r="C1" s="56">
        <v>45922.0</v>
      </c>
      <c r="D1" s="56">
        <v>45929.0</v>
      </c>
      <c r="E1" s="56">
        <v>45936.0</v>
      </c>
      <c r="F1" s="56">
        <v>45943.0</v>
      </c>
      <c r="G1" s="56">
        <v>45950.0</v>
      </c>
      <c r="H1" s="56">
        <v>45957.0</v>
      </c>
      <c r="I1" s="56">
        <v>45964.0</v>
      </c>
      <c r="J1" s="56">
        <v>45971.0</v>
      </c>
      <c r="K1" s="56">
        <v>45978.0</v>
      </c>
      <c r="L1" s="56">
        <v>45985.0</v>
      </c>
      <c r="M1" s="56">
        <v>45992.0</v>
      </c>
      <c r="N1" s="56">
        <v>45999.0</v>
      </c>
      <c r="O1" s="56">
        <v>46006.0</v>
      </c>
      <c r="P1" s="56">
        <v>46013.0</v>
      </c>
      <c r="Q1" s="56">
        <v>46020.0</v>
      </c>
      <c r="R1" s="56">
        <v>46027.0</v>
      </c>
      <c r="S1" s="56">
        <v>46034.0</v>
      </c>
      <c r="T1" s="56">
        <v>46041.0</v>
      </c>
      <c r="U1" s="56">
        <v>46048.0</v>
      </c>
      <c r="V1" s="56">
        <v>46055.0</v>
      </c>
      <c r="W1" s="56">
        <v>46062.0</v>
      </c>
      <c r="X1" s="56">
        <v>46069.0</v>
      </c>
      <c r="Y1" s="56">
        <v>46076.0</v>
      </c>
      <c r="Z1" s="56">
        <v>46083.0</v>
      </c>
      <c r="AA1" s="56">
        <v>46090.0</v>
      </c>
      <c r="AB1" s="56">
        <v>46097.0</v>
      </c>
    </row>
    <row r="2">
      <c r="A2" s="58" t="s">
        <v>23</v>
      </c>
      <c r="B2" s="59">
        <v>26240.2</v>
      </c>
      <c r="C2" s="59">
        <v>14935.48</v>
      </c>
      <c r="D2" s="59">
        <f t="shared" ref="D2:AB2" si="1">(B2+C2)/2</f>
        <v>20587.84</v>
      </c>
      <c r="E2" s="59">
        <f t="shared" si="1"/>
        <v>17761.66</v>
      </c>
      <c r="F2" s="59">
        <f t="shared" si="1"/>
        <v>19174.75</v>
      </c>
      <c r="G2" s="59">
        <f t="shared" si="1"/>
        <v>18468.205</v>
      </c>
      <c r="H2" s="59">
        <f t="shared" si="1"/>
        <v>18821.4775</v>
      </c>
      <c r="I2" s="59">
        <f t="shared" si="1"/>
        <v>18644.84125</v>
      </c>
      <c r="J2" s="59">
        <f t="shared" si="1"/>
        <v>18733.15938</v>
      </c>
      <c r="K2" s="59">
        <f t="shared" si="1"/>
        <v>18689.00031</v>
      </c>
      <c r="L2" s="59">
        <f t="shared" si="1"/>
        <v>18711.07984</v>
      </c>
      <c r="M2" s="59">
        <f t="shared" si="1"/>
        <v>18700.04008</v>
      </c>
      <c r="N2" s="59">
        <f t="shared" si="1"/>
        <v>18705.55996</v>
      </c>
      <c r="O2" s="59">
        <f t="shared" si="1"/>
        <v>18702.80002</v>
      </c>
      <c r="P2" s="59">
        <f t="shared" si="1"/>
        <v>18704.17999</v>
      </c>
      <c r="Q2" s="59">
        <f t="shared" si="1"/>
        <v>18703.49</v>
      </c>
      <c r="R2" s="59">
        <f t="shared" si="1"/>
        <v>18703.835</v>
      </c>
      <c r="S2" s="59">
        <f t="shared" si="1"/>
        <v>18703.6625</v>
      </c>
      <c r="T2" s="59">
        <f t="shared" si="1"/>
        <v>18703.74875</v>
      </c>
      <c r="U2" s="59">
        <f t="shared" si="1"/>
        <v>18703.70563</v>
      </c>
      <c r="V2" s="59">
        <f t="shared" si="1"/>
        <v>18703.72719</v>
      </c>
      <c r="W2" s="59">
        <f t="shared" si="1"/>
        <v>18703.71641</v>
      </c>
      <c r="X2" s="59">
        <f t="shared" si="1"/>
        <v>18703.7218</v>
      </c>
      <c r="Y2" s="59">
        <f t="shared" si="1"/>
        <v>18703.7191</v>
      </c>
      <c r="Z2" s="59">
        <f t="shared" si="1"/>
        <v>18703.72045</v>
      </c>
      <c r="AA2" s="59">
        <f t="shared" si="1"/>
        <v>18703.71978</v>
      </c>
      <c r="AB2" s="59">
        <f t="shared" si="1"/>
        <v>18703.72011</v>
      </c>
    </row>
    <row r="3">
      <c r="A3" s="58" t="s">
        <v>25</v>
      </c>
      <c r="B3" s="59">
        <v>29521.07</v>
      </c>
      <c r="C3" s="59">
        <v>27941.81</v>
      </c>
      <c r="D3" s="59">
        <f>C3*1.02</f>
        <v>28500.6462</v>
      </c>
      <c r="E3" s="59">
        <f>D3*0.98</f>
        <v>27930.63328</v>
      </c>
      <c r="F3" s="59">
        <f>E3*1.02</f>
        <v>28489.24594</v>
      </c>
      <c r="G3" s="59">
        <f>F3*0.98</f>
        <v>27919.46102</v>
      </c>
      <c r="H3" s="59">
        <f>G3*1.02</f>
        <v>28477.85024</v>
      </c>
      <c r="I3" s="59">
        <f>H3*0.98</f>
        <v>27908.29324</v>
      </c>
      <c r="J3" s="59">
        <f>I3*1.02</f>
        <v>28466.4591</v>
      </c>
      <c r="K3" s="59">
        <f>J3*0.98</f>
        <v>27897.12992</v>
      </c>
      <c r="L3" s="59">
        <f>K3*1.02</f>
        <v>28455.07252</v>
      </c>
      <c r="M3" s="59">
        <f>L3*0.98</f>
        <v>27885.97107</v>
      </c>
      <c r="N3" s="59">
        <f>M3*1.02</f>
        <v>28443.69049</v>
      </c>
      <c r="O3" s="59">
        <f>N3*0.98</f>
        <v>27874.81668</v>
      </c>
      <c r="P3" s="59">
        <f>O3*1.02</f>
        <v>28432.31301</v>
      </c>
      <c r="Q3" s="59">
        <f>P3*0.98</f>
        <v>27863.66675</v>
      </c>
      <c r="R3" s="59">
        <f>Q3*1.02</f>
        <v>28420.94009</v>
      </c>
      <c r="S3" s="59">
        <f>R3*0.98</f>
        <v>27852.52129</v>
      </c>
      <c r="T3" s="59">
        <f>S3*1.02</f>
        <v>28409.57171</v>
      </c>
      <c r="U3" s="59">
        <f>T3*0.98</f>
        <v>27841.38028</v>
      </c>
      <c r="V3" s="59">
        <f>U3*1.02</f>
        <v>28398.20788</v>
      </c>
      <c r="W3" s="59">
        <f>V3*0.98</f>
        <v>27830.24373</v>
      </c>
      <c r="X3" s="59">
        <f>W3*1.02</f>
        <v>28386.8486</v>
      </c>
      <c r="Y3" s="59">
        <f>X3*0.98</f>
        <v>27819.11163</v>
      </c>
      <c r="Z3" s="59">
        <f>Y3*1.02</f>
        <v>28375.49386</v>
      </c>
      <c r="AA3" s="59">
        <f>Z3*0.98</f>
        <v>27807.98398</v>
      </c>
      <c r="AB3" s="59">
        <f>AA3*1.02</f>
        <v>28364.14366</v>
      </c>
    </row>
    <row r="4">
      <c r="A4" s="58" t="s">
        <v>28</v>
      </c>
      <c r="B4" s="59">
        <v>9600.0</v>
      </c>
      <c r="C4" s="59">
        <v>9600.0</v>
      </c>
      <c r="D4" s="59">
        <v>9600.0</v>
      </c>
      <c r="E4" s="59">
        <v>9600.0</v>
      </c>
      <c r="F4" s="59">
        <v>9600.0</v>
      </c>
      <c r="G4" s="59">
        <v>9600.0</v>
      </c>
      <c r="H4" s="59">
        <v>9600.0</v>
      </c>
      <c r="I4" s="59">
        <v>9600.0</v>
      </c>
      <c r="J4" s="59">
        <v>9600.0</v>
      </c>
      <c r="K4" s="59">
        <v>9600.0</v>
      </c>
      <c r="L4" s="59">
        <v>9600.0</v>
      </c>
      <c r="M4" s="59">
        <v>9600.0</v>
      </c>
      <c r="N4" s="59">
        <v>9600.0</v>
      </c>
      <c r="O4" s="59">
        <v>9600.0</v>
      </c>
      <c r="P4" s="59">
        <v>9600.0</v>
      </c>
      <c r="Q4" s="59">
        <v>9600.0</v>
      </c>
      <c r="R4" s="59">
        <v>9600.0</v>
      </c>
      <c r="S4" s="59">
        <v>9600.0</v>
      </c>
      <c r="T4" s="59">
        <v>9600.0</v>
      </c>
      <c r="U4" s="59">
        <v>9600.0</v>
      </c>
      <c r="V4" s="59">
        <v>9600.0</v>
      </c>
      <c r="W4" s="59">
        <v>9600.0</v>
      </c>
      <c r="X4" s="59">
        <v>9600.0</v>
      </c>
      <c r="Y4" s="59">
        <v>9600.0</v>
      </c>
      <c r="Z4" s="59">
        <v>9600.0</v>
      </c>
      <c r="AA4" s="59">
        <v>9600.0</v>
      </c>
      <c r="AB4" s="59">
        <v>9600.0</v>
      </c>
    </row>
    <row r="5">
      <c r="A5" s="58" t="s">
        <v>31</v>
      </c>
      <c r="B5" s="59">
        <v>29779.65</v>
      </c>
      <c r="C5" s="59">
        <v>30391.44</v>
      </c>
      <c r="D5" s="59">
        <f>C5*1.02</f>
        <v>30999.2688</v>
      </c>
      <c r="E5" s="59">
        <f>D5*0.98</f>
        <v>30379.28342</v>
      </c>
      <c r="F5" s="59">
        <f>E5*1.02</f>
        <v>30986.86909</v>
      </c>
      <c r="G5" s="59">
        <f>F5*0.98</f>
        <v>30367.13171</v>
      </c>
      <c r="H5" s="59">
        <f>G5*1.02</f>
        <v>30974.47434</v>
      </c>
      <c r="I5" s="59">
        <f>H5*0.78</f>
        <v>24160.08999</v>
      </c>
      <c r="J5" s="59">
        <f>I5*1.02</f>
        <v>24643.29179</v>
      </c>
      <c r="K5" s="59">
        <f>J5*0.98</f>
        <v>24150.42595</v>
      </c>
      <c r="L5" s="59">
        <f>K5*1.02</f>
        <v>24633.43447</v>
      </c>
      <c r="M5" s="59">
        <f>L5*0.98</f>
        <v>24140.76578</v>
      </c>
      <c r="N5" s="59">
        <f>M5*1.02</f>
        <v>24623.5811</v>
      </c>
      <c r="O5" s="59">
        <f>N5*0.98</f>
        <v>24131.10948</v>
      </c>
      <c r="P5" s="59">
        <f>O5*1.02</f>
        <v>24613.73167</v>
      </c>
      <c r="Q5" s="59">
        <f>P5*0.98</f>
        <v>24121.45703</v>
      </c>
      <c r="R5" s="59">
        <f>Q5*1.02</f>
        <v>24603.88617</v>
      </c>
      <c r="S5" s="59">
        <f>R5*0.98</f>
        <v>24111.80845</v>
      </c>
      <c r="T5" s="59">
        <f>S5*1.02</f>
        <v>24594.04462</v>
      </c>
      <c r="U5" s="59">
        <f>T5*0.98</f>
        <v>24102.16373</v>
      </c>
      <c r="V5" s="59">
        <f>U5*1.02</f>
        <v>24584.207</v>
      </c>
      <c r="W5" s="59">
        <f>V5*0.98</f>
        <v>24092.52286</v>
      </c>
      <c r="X5" s="59">
        <f>W5*1.02</f>
        <v>24574.37332</v>
      </c>
      <c r="Y5" s="59">
        <f>X5*0.98</f>
        <v>24082.88585</v>
      </c>
      <c r="Z5" s="59">
        <f>Y5*1.02</f>
        <v>24564.54357</v>
      </c>
      <c r="AA5" s="59">
        <f>Z5*0.98</f>
        <v>24073.2527</v>
      </c>
      <c r="AB5" s="59">
        <f>AA5*1.02</f>
        <v>24554.71775</v>
      </c>
    </row>
    <row r="6">
      <c r="A6" s="58" t="s">
        <v>32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</row>
    <row r="7">
      <c r="A7" s="58" t="s">
        <v>34</v>
      </c>
      <c r="B7" s="59"/>
      <c r="C7" s="59">
        <v>13770.0</v>
      </c>
      <c r="D7" s="59">
        <v>13770.0</v>
      </c>
      <c r="E7" s="59">
        <v>13770.0</v>
      </c>
      <c r="F7" s="59">
        <v>13770.0</v>
      </c>
      <c r="G7" s="59">
        <v>13770.0</v>
      </c>
      <c r="H7" s="59">
        <v>13770.0</v>
      </c>
      <c r="I7" s="59">
        <v>13770.0</v>
      </c>
      <c r="J7" s="59">
        <v>13770.0</v>
      </c>
      <c r="K7" s="59">
        <v>13770.0</v>
      </c>
      <c r="L7" s="59">
        <v>13770.0</v>
      </c>
      <c r="M7" s="59">
        <v>13770.0</v>
      </c>
      <c r="N7" s="59">
        <v>13770.0</v>
      </c>
      <c r="O7" s="59">
        <v>13770.0</v>
      </c>
      <c r="P7" s="59">
        <v>13770.0</v>
      </c>
      <c r="Q7" s="59">
        <v>13770.0</v>
      </c>
      <c r="R7" s="59">
        <v>13770.0</v>
      </c>
      <c r="S7" s="59">
        <v>13770.0</v>
      </c>
      <c r="T7" s="59">
        <v>13770.0</v>
      </c>
      <c r="U7" s="59">
        <v>13770.0</v>
      </c>
      <c r="V7" s="59">
        <v>13770.0</v>
      </c>
      <c r="W7" s="59">
        <v>13770.0</v>
      </c>
      <c r="X7" s="59">
        <v>13770.0</v>
      </c>
      <c r="Y7" s="59">
        <v>13770.0</v>
      </c>
      <c r="Z7" s="59">
        <v>13770.0</v>
      </c>
      <c r="AA7" s="59">
        <v>13770.0</v>
      </c>
      <c r="AB7" s="59">
        <v>13770.0</v>
      </c>
    </row>
    <row r="8">
      <c r="A8" s="58" t="s">
        <v>112</v>
      </c>
      <c r="B8" s="59"/>
      <c r="C8" s="59">
        <v>16503.3</v>
      </c>
      <c r="D8" s="59">
        <v>16503.3</v>
      </c>
      <c r="E8" s="59">
        <v>16503.3</v>
      </c>
      <c r="F8" s="59">
        <v>16503.3</v>
      </c>
      <c r="G8" s="59">
        <v>16503.3</v>
      </c>
      <c r="H8" s="59">
        <v>16503.3</v>
      </c>
      <c r="I8" s="59">
        <v>20503.3</v>
      </c>
      <c r="J8" s="59">
        <v>20503.3</v>
      </c>
      <c r="K8" s="59">
        <v>20503.3</v>
      </c>
      <c r="L8" s="59">
        <v>20503.3</v>
      </c>
      <c r="M8" s="59">
        <v>20503.3</v>
      </c>
      <c r="N8" s="59">
        <v>20503.3</v>
      </c>
      <c r="O8" s="59">
        <v>20503.3</v>
      </c>
      <c r="P8" s="59">
        <v>20503.3</v>
      </c>
      <c r="Q8" s="59">
        <v>20503.3</v>
      </c>
      <c r="R8" s="59">
        <v>20503.3</v>
      </c>
      <c r="S8" s="59">
        <v>20503.3</v>
      </c>
      <c r="T8" s="59">
        <v>20503.3</v>
      </c>
      <c r="U8" s="59">
        <v>20503.3</v>
      </c>
      <c r="V8" s="59">
        <v>20503.3</v>
      </c>
      <c r="W8" s="59">
        <v>20503.3</v>
      </c>
      <c r="X8" s="59">
        <v>20503.3</v>
      </c>
      <c r="Y8" s="59">
        <v>20503.3</v>
      </c>
      <c r="Z8" s="59">
        <v>20503.3</v>
      </c>
      <c r="AA8" s="59">
        <v>20503.3</v>
      </c>
      <c r="AB8" s="59">
        <v>20503.3</v>
      </c>
    </row>
    <row r="9">
      <c r="A9" s="58" t="s">
        <v>113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</row>
    <row r="10">
      <c r="A10" s="58" t="s">
        <v>39</v>
      </c>
      <c r="B10" s="59">
        <v>15000.0</v>
      </c>
      <c r="C10" s="59">
        <v>15000.0</v>
      </c>
      <c r="D10" s="59">
        <v>15000.0</v>
      </c>
      <c r="E10" s="59">
        <v>15000.0</v>
      </c>
      <c r="F10" s="59">
        <v>15000.0</v>
      </c>
      <c r="G10" s="59">
        <v>15000.0</v>
      </c>
      <c r="H10" s="59">
        <v>15000.0</v>
      </c>
      <c r="I10" s="59">
        <v>15000.0</v>
      </c>
      <c r="J10" s="59">
        <v>15000.0</v>
      </c>
      <c r="K10" s="59">
        <v>15000.0</v>
      </c>
      <c r="L10" s="59">
        <v>15000.0</v>
      </c>
      <c r="M10" s="59">
        <v>15000.0</v>
      </c>
      <c r="N10" s="59">
        <v>15000.0</v>
      </c>
      <c r="O10" s="59">
        <v>15000.0</v>
      </c>
      <c r="P10" s="59">
        <v>15000.0</v>
      </c>
      <c r="Q10" s="59">
        <v>15000.0</v>
      </c>
      <c r="R10" s="59">
        <v>15000.0</v>
      </c>
      <c r="S10" s="59">
        <v>15000.0</v>
      </c>
      <c r="T10" s="59">
        <v>15000.0</v>
      </c>
      <c r="U10" s="59">
        <v>15000.0</v>
      </c>
      <c r="V10" s="59">
        <v>15000.0</v>
      </c>
      <c r="W10" s="59">
        <v>15000.0</v>
      </c>
      <c r="X10" s="59">
        <v>15000.0</v>
      </c>
      <c r="Y10" s="59">
        <v>15000.0</v>
      </c>
      <c r="Z10" s="59">
        <v>15000.0</v>
      </c>
      <c r="AA10" s="59">
        <v>15000.0</v>
      </c>
      <c r="AB10" s="59">
        <v>15000.0</v>
      </c>
    </row>
    <row r="11">
      <c r="A11" s="58" t="s">
        <v>38</v>
      </c>
      <c r="B11" s="59">
        <v>87794.17</v>
      </c>
      <c r="C11" s="59">
        <v>15800.0</v>
      </c>
      <c r="D11" s="59">
        <v>15800.0</v>
      </c>
      <c r="E11" s="59">
        <v>15800.0</v>
      </c>
      <c r="F11" s="59">
        <v>15800.0</v>
      </c>
      <c r="G11" s="59">
        <v>15800.0</v>
      </c>
      <c r="H11" s="59">
        <v>15800.0</v>
      </c>
      <c r="I11" s="59">
        <v>15800.0</v>
      </c>
      <c r="J11" s="59">
        <v>15800.0</v>
      </c>
      <c r="K11" s="59">
        <v>15800.0</v>
      </c>
      <c r="L11" s="59">
        <v>15800.0</v>
      </c>
      <c r="M11" s="59">
        <v>15800.0</v>
      </c>
      <c r="N11" s="59">
        <v>15800.0</v>
      </c>
      <c r="O11" s="59">
        <v>15800.0</v>
      </c>
      <c r="P11" s="59">
        <v>15800.0</v>
      </c>
      <c r="Q11" s="59">
        <v>15800.0</v>
      </c>
      <c r="R11" s="59">
        <v>15800.0</v>
      </c>
      <c r="S11" s="59">
        <v>15800.0</v>
      </c>
      <c r="T11" s="59">
        <v>15800.0</v>
      </c>
      <c r="U11" s="59">
        <v>15800.0</v>
      </c>
      <c r="V11" s="59">
        <v>15800.0</v>
      </c>
      <c r="W11" s="59">
        <v>15800.0</v>
      </c>
      <c r="X11" s="59">
        <v>15800.0</v>
      </c>
      <c r="Y11" s="59">
        <v>15800.0</v>
      </c>
      <c r="Z11" s="59">
        <v>15800.0</v>
      </c>
      <c r="AA11" s="59">
        <v>15800.0</v>
      </c>
      <c r="AB11" s="59">
        <v>15800.0</v>
      </c>
    </row>
    <row r="12">
      <c r="A12" s="58" t="s">
        <v>41</v>
      </c>
      <c r="B12" s="59">
        <v>10258.76</v>
      </c>
      <c r="C12" s="59">
        <v>6459.61</v>
      </c>
      <c r="D12" s="59">
        <f t="shared" ref="D12:AB12" si="2">(B12+C12)/2</f>
        <v>8359.185</v>
      </c>
      <c r="E12" s="59">
        <f t="shared" si="2"/>
        <v>7409.3975</v>
      </c>
      <c r="F12" s="59">
        <f t="shared" si="2"/>
        <v>7884.29125</v>
      </c>
      <c r="G12" s="59">
        <f t="shared" si="2"/>
        <v>7646.844375</v>
      </c>
      <c r="H12" s="59">
        <f t="shared" si="2"/>
        <v>7765.567813</v>
      </c>
      <c r="I12" s="59">
        <f t="shared" si="2"/>
        <v>7706.206094</v>
      </c>
      <c r="J12" s="59">
        <f t="shared" si="2"/>
        <v>7735.886953</v>
      </c>
      <c r="K12" s="59">
        <f t="shared" si="2"/>
        <v>7721.046523</v>
      </c>
      <c r="L12" s="59">
        <f t="shared" si="2"/>
        <v>7728.466738</v>
      </c>
      <c r="M12" s="59">
        <f t="shared" si="2"/>
        <v>7724.756631</v>
      </c>
      <c r="N12" s="59">
        <f t="shared" si="2"/>
        <v>7726.611685</v>
      </c>
      <c r="O12" s="59">
        <f t="shared" si="2"/>
        <v>7725.684158</v>
      </c>
      <c r="P12" s="59">
        <f t="shared" si="2"/>
        <v>7726.147921</v>
      </c>
      <c r="Q12" s="59">
        <f t="shared" si="2"/>
        <v>7725.916039</v>
      </c>
      <c r="R12" s="59">
        <f t="shared" si="2"/>
        <v>7726.03198</v>
      </c>
      <c r="S12" s="59">
        <f t="shared" si="2"/>
        <v>7725.97401</v>
      </c>
      <c r="T12" s="59">
        <f t="shared" si="2"/>
        <v>7726.002995</v>
      </c>
      <c r="U12" s="59">
        <f t="shared" si="2"/>
        <v>7725.988502</v>
      </c>
      <c r="V12" s="59">
        <f t="shared" si="2"/>
        <v>7725.995749</v>
      </c>
      <c r="W12" s="59">
        <f t="shared" si="2"/>
        <v>7725.992126</v>
      </c>
      <c r="X12" s="59">
        <f t="shared" si="2"/>
        <v>7725.993937</v>
      </c>
      <c r="Y12" s="59">
        <f t="shared" si="2"/>
        <v>7725.993031</v>
      </c>
      <c r="Z12" s="59">
        <f t="shared" si="2"/>
        <v>7725.993484</v>
      </c>
      <c r="AA12" s="59">
        <f t="shared" si="2"/>
        <v>7725.993258</v>
      </c>
      <c r="AB12" s="59">
        <f t="shared" si="2"/>
        <v>7725.993371</v>
      </c>
    </row>
    <row r="13">
      <c r="A13" s="58" t="s">
        <v>44</v>
      </c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</row>
    <row r="14">
      <c r="A14" s="58" t="s">
        <v>114</v>
      </c>
      <c r="B14" s="59">
        <v>6588.11</v>
      </c>
      <c r="C14" s="59">
        <v>4932.2</v>
      </c>
      <c r="D14" s="59">
        <f t="shared" ref="D14:AB14" si="3">(B14+C14)/2</f>
        <v>5760.155</v>
      </c>
      <c r="E14" s="59">
        <f t="shared" si="3"/>
        <v>5346.1775</v>
      </c>
      <c r="F14" s="59">
        <f t="shared" si="3"/>
        <v>5553.16625</v>
      </c>
      <c r="G14" s="59">
        <f t="shared" si="3"/>
        <v>5449.671875</v>
      </c>
      <c r="H14" s="59">
        <f t="shared" si="3"/>
        <v>5501.419063</v>
      </c>
      <c r="I14" s="59">
        <f t="shared" si="3"/>
        <v>5475.545469</v>
      </c>
      <c r="J14" s="59">
        <f t="shared" si="3"/>
        <v>5488.482266</v>
      </c>
      <c r="K14" s="59">
        <f t="shared" si="3"/>
        <v>5482.013867</v>
      </c>
      <c r="L14" s="59">
        <f t="shared" si="3"/>
        <v>5485.248066</v>
      </c>
      <c r="M14" s="59">
        <f t="shared" si="3"/>
        <v>5483.630967</v>
      </c>
      <c r="N14" s="59">
        <f t="shared" si="3"/>
        <v>5484.439517</v>
      </c>
      <c r="O14" s="59">
        <f t="shared" si="3"/>
        <v>5484.035242</v>
      </c>
      <c r="P14" s="59">
        <f t="shared" si="3"/>
        <v>5484.237379</v>
      </c>
      <c r="Q14" s="59">
        <f t="shared" si="3"/>
        <v>5484.13631</v>
      </c>
      <c r="R14" s="59">
        <f t="shared" si="3"/>
        <v>5484.186845</v>
      </c>
      <c r="S14" s="59">
        <f t="shared" si="3"/>
        <v>5484.161578</v>
      </c>
      <c r="T14" s="59">
        <f t="shared" si="3"/>
        <v>5484.174211</v>
      </c>
      <c r="U14" s="59">
        <f t="shared" si="3"/>
        <v>5484.167894</v>
      </c>
      <c r="V14" s="59">
        <f t="shared" si="3"/>
        <v>5484.171053</v>
      </c>
      <c r="W14" s="59">
        <f t="shared" si="3"/>
        <v>5484.169474</v>
      </c>
      <c r="X14" s="59">
        <f t="shared" si="3"/>
        <v>5484.170263</v>
      </c>
      <c r="Y14" s="59">
        <f t="shared" si="3"/>
        <v>5484.169868</v>
      </c>
      <c r="Z14" s="59">
        <f t="shared" si="3"/>
        <v>5484.170066</v>
      </c>
      <c r="AA14" s="59">
        <f t="shared" si="3"/>
        <v>5484.169967</v>
      </c>
      <c r="AB14" s="59">
        <f t="shared" si="3"/>
        <v>5484.170016</v>
      </c>
    </row>
    <row r="15">
      <c r="A15" s="58" t="s">
        <v>115</v>
      </c>
      <c r="B15" s="59">
        <v>3560.0</v>
      </c>
      <c r="C15" s="59">
        <v>12650.25</v>
      </c>
      <c r="D15" s="59">
        <f t="shared" ref="D15:AB15" si="4">(B15+C15)/2</f>
        <v>8105.125</v>
      </c>
      <c r="E15" s="59">
        <f t="shared" si="4"/>
        <v>10377.6875</v>
      </c>
      <c r="F15" s="59">
        <f t="shared" si="4"/>
        <v>9241.40625</v>
      </c>
      <c r="G15" s="59">
        <f t="shared" si="4"/>
        <v>9809.546875</v>
      </c>
      <c r="H15" s="59">
        <f t="shared" si="4"/>
        <v>9525.476563</v>
      </c>
      <c r="I15" s="59">
        <f t="shared" si="4"/>
        <v>9667.511719</v>
      </c>
      <c r="J15" s="59">
        <f t="shared" si="4"/>
        <v>9596.494141</v>
      </c>
      <c r="K15" s="59">
        <f t="shared" si="4"/>
        <v>9632.00293</v>
      </c>
      <c r="L15" s="59">
        <f t="shared" si="4"/>
        <v>9614.248535</v>
      </c>
      <c r="M15" s="59">
        <f t="shared" si="4"/>
        <v>9623.125732</v>
      </c>
      <c r="N15" s="59">
        <f t="shared" si="4"/>
        <v>9618.687134</v>
      </c>
      <c r="O15" s="59">
        <f t="shared" si="4"/>
        <v>9620.906433</v>
      </c>
      <c r="P15" s="59">
        <f t="shared" si="4"/>
        <v>9619.796783</v>
      </c>
      <c r="Q15" s="59">
        <f t="shared" si="4"/>
        <v>9620.351608</v>
      </c>
      <c r="R15" s="59">
        <f t="shared" si="4"/>
        <v>9620.074196</v>
      </c>
      <c r="S15" s="59">
        <f t="shared" si="4"/>
        <v>9620.212902</v>
      </c>
      <c r="T15" s="59">
        <f t="shared" si="4"/>
        <v>9620.143549</v>
      </c>
      <c r="U15" s="59">
        <f t="shared" si="4"/>
        <v>9620.178226</v>
      </c>
      <c r="V15" s="59">
        <f t="shared" si="4"/>
        <v>9620.160887</v>
      </c>
      <c r="W15" s="59">
        <f t="shared" si="4"/>
        <v>9620.169556</v>
      </c>
      <c r="X15" s="59">
        <f t="shared" si="4"/>
        <v>9620.165222</v>
      </c>
      <c r="Y15" s="59">
        <f t="shared" si="4"/>
        <v>9620.167389</v>
      </c>
      <c r="Z15" s="59">
        <f t="shared" si="4"/>
        <v>9620.166305</v>
      </c>
      <c r="AA15" s="59">
        <f t="shared" si="4"/>
        <v>9620.166847</v>
      </c>
      <c r="AB15" s="59">
        <f t="shared" si="4"/>
        <v>9620.166576</v>
      </c>
    </row>
    <row r="16">
      <c r="A16" s="58" t="s">
        <v>116</v>
      </c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</row>
    <row r="17">
      <c r="A17" s="58" t="s">
        <v>46</v>
      </c>
      <c r="B17" s="59"/>
      <c r="C17" s="59">
        <v>434.82</v>
      </c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</row>
    <row r="18">
      <c r="A18" s="58" t="s">
        <v>49</v>
      </c>
      <c r="B18" s="59"/>
      <c r="C18" s="59">
        <v>7257.96</v>
      </c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</row>
    <row r="19">
      <c r="A19" s="58" t="s">
        <v>118</v>
      </c>
      <c r="B19" s="59"/>
      <c r="C19" s="59"/>
      <c r="D19" s="59"/>
      <c r="E19" s="59"/>
      <c r="F19" s="59"/>
      <c r="G19" s="59"/>
      <c r="H19" s="59"/>
      <c r="I19" s="59"/>
      <c r="J19" s="62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</row>
    <row r="20">
      <c r="A20" s="58" t="s">
        <v>51</v>
      </c>
      <c r="B20" s="59">
        <v>80558.45</v>
      </c>
      <c r="C20" s="59">
        <v>43425.0</v>
      </c>
      <c r="D20" s="59">
        <f t="shared" ref="D20:F20" si="5">(B20+C20)/2</f>
        <v>61991.725</v>
      </c>
      <c r="E20" s="59">
        <f t="shared" si="5"/>
        <v>52708.3625</v>
      </c>
      <c r="F20" s="59">
        <f t="shared" si="5"/>
        <v>57350.04375</v>
      </c>
      <c r="G20" s="59">
        <v>25000.0</v>
      </c>
      <c r="H20" s="59">
        <v>25000.0</v>
      </c>
      <c r="I20" s="59">
        <v>25000.0</v>
      </c>
      <c r="J20" s="59">
        <v>20000.0</v>
      </c>
      <c r="K20" s="59">
        <v>12000.0</v>
      </c>
      <c r="L20" s="59">
        <v>15000.0</v>
      </c>
      <c r="M20" s="59">
        <v>13000.0</v>
      </c>
      <c r="N20" s="59">
        <v>12000.0</v>
      </c>
      <c r="O20" s="59">
        <v>15000.0</v>
      </c>
      <c r="P20" s="59">
        <v>13000.0</v>
      </c>
      <c r="Q20" s="59">
        <v>12000.0</v>
      </c>
      <c r="R20" s="59">
        <v>15000.0</v>
      </c>
      <c r="S20" s="59">
        <v>13000.0</v>
      </c>
      <c r="T20" s="59">
        <v>12000.0</v>
      </c>
      <c r="U20" s="59">
        <v>15000.0</v>
      </c>
      <c r="V20" s="59">
        <v>13000.0</v>
      </c>
      <c r="W20" s="59">
        <v>12000.0</v>
      </c>
      <c r="X20" s="59">
        <v>15000.0</v>
      </c>
      <c r="Y20" s="59">
        <v>13000.0</v>
      </c>
      <c r="Z20" s="59">
        <v>12000.0</v>
      </c>
      <c r="AA20" s="59">
        <v>15000.0</v>
      </c>
      <c r="AB20" s="59">
        <v>13000.0</v>
      </c>
    </row>
    <row r="21">
      <c r="A21" s="58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</row>
    <row r="22">
      <c r="A22" s="58" t="s">
        <v>119</v>
      </c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>
        <v>20000.0</v>
      </c>
      <c r="U22" s="58">
        <v>30000.0</v>
      </c>
      <c r="V22" s="58">
        <v>40000.0</v>
      </c>
      <c r="W22" s="58">
        <v>50000.0</v>
      </c>
      <c r="X22" s="58">
        <v>60000.0</v>
      </c>
      <c r="Y22" s="58">
        <v>70000.0</v>
      </c>
      <c r="Z22" s="58">
        <v>80000.0</v>
      </c>
      <c r="AA22" s="58">
        <v>90000.0</v>
      </c>
      <c r="AB22" s="58">
        <v>100000.0</v>
      </c>
    </row>
    <row r="23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</row>
    <row r="24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</row>
    <row r="25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</row>
    <row r="26">
      <c r="A26" s="58" t="s">
        <v>117</v>
      </c>
      <c r="B26" s="61">
        <f t="shared" ref="B26:R26" si="6">SUM(B2:B20)</f>
        <v>298900.41</v>
      </c>
      <c r="C26" s="61">
        <f t="shared" si="6"/>
        <v>219101.87</v>
      </c>
      <c r="D26" s="61">
        <f t="shared" si="6"/>
        <v>234977.245</v>
      </c>
      <c r="E26" s="61">
        <f t="shared" si="6"/>
        <v>222586.5017</v>
      </c>
      <c r="F26" s="61">
        <f t="shared" si="6"/>
        <v>229353.0725</v>
      </c>
      <c r="G26" s="61">
        <f t="shared" si="6"/>
        <v>195334.1609</v>
      </c>
      <c r="H26" s="61">
        <f t="shared" si="6"/>
        <v>196739.5655</v>
      </c>
      <c r="I26" s="61">
        <f t="shared" si="6"/>
        <v>193235.7878</v>
      </c>
      <c r="J26" s="61">
        <f t="shared" si="6"/>
        <v>189337.0736</v>
      </c>
      <c r="K26" s="61">
        <f t="shared" si="6"/>
        <v>180244.9195</v>
      </c>
      <c r="L26" s="61">
        <f t="shared" si="6"/>
        <v>184300.8502</v>
      </c>
      <c r="M26" s="61">
        <f t="shared" si="6"/>
        <v>181231.5903</v>
      </c>
      <c r="N26" s="61">
        <f t="shared" si="6"/>
        <v>181275.8699</v>
      </c>
      <c r="O26" s="61">
        <f t="shared" si="6"/>
        <v>183212.652</v>
      </c>
      <c r="P26" s="61">
        <f t="shared" si="6"/>
        <v>182253.7068</v>
      </c>
      <c r="Q26" s="61">
        <f t="shared" si="6"/>
        <v>180192.3177</v>
      </c>
      <c r="R26" s="61">
        <f t="shared" si="6"/>
        <v>184232.2543</v>
      </c>
      <c r="S26" s="61">
        <f t="shared" ref="S26:AB26" si="7">SUM(S2:S25)</f>
        <v>181171.6407</v>
      </c>
      <c r="T26" s="61">
        <f t="shared" si="7"/>
        <v>201210.9858</v>
      </c>
      <c r="U26" s="61">
        <f t="shared" si="7"/>
        <v>213150.8843</v>
      </c>
      <c r="V26" s="61">
        <f t="shared" si="7"/>
        <v>222189.7698</v>
      </c>
      <c r="W26" s="61">
        <f t="shared" si="7"/>
        <v>230130.1141</v>
      </c>
      <c r="X26" s="61">
        <f t="shared" si="7"/>
        <v>244168.5731</v>
      </c>
      <c r="Y26" s="61">
        <f t="shared" si="7"/>
        <v>251109.3469</v>
      </c>
      <c r="Z26" s="61">
        <f t="shared" si="7"/>
        <v>261147.3877</v>
      </c>
      <c r="AA26" s="61">
        <f t="shared" si="7"/>
        <v>273088.5865</v>
      </c>
      <c r="AB26" s="61">
        <f t="shared" si="7"/>
        <v>282126.2115</v>
      </c>
    </row>
    <row r="27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</row>
    <row r="28">
      <c r="A28" s="58" t="s">
        <v>120</v>
      </c>
      <c r="B28" s="58"/>
      <c r="C28" s="58"/>
      <c r="D28" s="58">
        <f t="shared" ref="D28:I28" si="8">(D26-8700)*0.72</f>
        <v>162919.6164</v>
      </c>
      <c r="E28" s="58">
        <f t="shared" si="8"/>
        <v>153998.2812</v>
      </c>
      <c r="F28" s="58">
        <f t="shared" si="8"/>
        <v>158870.2122</v>
      </c>
      <c r="G28" s="58">
        <f t="shared" si="8"/>
        <v>134376.5958</v>
      </c>
      <c r="H28" s="58">
        <f t="shared" si="8"/>
        <v>135388.4872</v>
      </c>
      <c r="I28" s="58">
        <f t="shared" si="8"/>
        <v>132865.7672</v>
      </c>
      <c r="J28" s="58">
        <f t="shared" ref="J28:AB28" si="9">(J26-8700)*0.6</f>
        <v>108382.2442</v>
      </c>
      <c r="K28" s="58">
        <f t="shared" si="9"/>
        <v>102926.9517</v>
      </c>
      <c r="L28" s="58">
        <f t="shared" si="9"/>
        <v>105360.5101</v>
      </c>
      <c r="M28" s="58">
        <f t="shared" si="9"/>
        <v>103518.9542</v>
      </c>
      <c r="N28" s="58">
        <f t="shared" si="9"/>
        <v>103545.5219</v>
      </c>
      <c r="O28" s="58">
        <f t="shared" si="9"/>
        <v>104707.5912</v>
      </c>
      <c r="P28" s="58">
        <f t="shared" si="9"/>
        <v>104132.2241</v>
      </c>
      <c r="Q28" s="58">
        <f t="shared" si="9"/>
        <v>102895.3906</v>
      </c>
      <c r="R28" s="58">
        <f t="shared" si="9"/>
        <v>105319.3526</v>
      </c>
      <c r="S28" s="58">
        <f t="shared" si="9"/>
        <v>103482.9844</v>
      </c>
      <c r="T28" s="58">
        <f t="shared" si="9"/>
        <v>115506.5915</v>
      </c>
      <c r="U28" s="58">
        <f t="shared" si="9"/>
        <v>122670.5306</v>
      </c>
      <c r="V28" s="58">
        <f t="shared" si="9"/>
        <v>128093.8619</v>
      </c>
      <c r="W28" s="58">
        <f t="shared" si="9"/>
        <v>132858.0685</v>
      </c>
      <c r="X28" s="58">
        <f t="shared" si="9"/>
        <v>141281.1439</v>
      </c>
      <c r="Y28" s="58">
        <f t="shared" si="9"/>
        <v>145445.6081</v>
      </c>
      <c r="Z28" s="58">
        <f t="shared" si="9"/>
        <v>151468.4326</v>
      </c>
      <c r="AA28" s="58">
        <f t="shared" si="9"/>
        <v>158633.1519</v>
      </c>
      <c r="AB28" s="58">
        <f t="shared" si="9"/>
        <v>164055.7269</v>
      </c>
    </row>
    <row r="29">
      <c r="A29" s="58" t="s">
        <v>121</v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</row>
    <row r="30">
      <c r="A30" s="58" t="s">
        <v>122</v>
      </c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</row>
    <row r="31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</row>
    <row r="32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</row>
    <row r="33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</row>
    <row r="34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</row>
    <row r="35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</row>
    <row r="36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</row>
    <row r="37">
      <c r="A37" s="58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</row>
    <row r="38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</row>
    <row r="39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</row>
    <row r="40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</row>
    <row r="41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</row>
    <row r="42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</row>
    <row r="43">
      <c r="A43" s="58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</row>
    <row r="44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</row>
    <row r="45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</row>
    <row r="46">
      <c r="A46" s="58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</row>
    <row r="47">
      <c r="A47" s="5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</row>
    <row r="48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</row>
    <row r="49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</row>
    <row r="50">
      <c r="A50" s="5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</row>
    <row r="51">
      <c r="A51" s="58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</row>
    <row r="52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</row>
    <row r="53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</row>
    <row r="54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</row>
    <row r="55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</row>
    <row r="56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</row>
    <row r="57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</row>
    <row r="58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</row>
    <row r="59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</row>
    <row r="60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</row>
    <row r="61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</row>
    <row r="62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</row>
    <row r="63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</row>
    <row r="64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</row>
    <row r="65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</row>
    <row r="66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</row>
    <row r="67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</row>
    <row r="68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</row>
    <row r="69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</row>
    <row r="70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</row>
    <row r="71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</row>
    <row r="72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</row>
    <row r="73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</row>
    <row r="74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</row>
    <row r="75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</row>
    <row r="76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</row>
    <row r="77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</row>
    <row r="78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</row>
    <row r="79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</row>
    <row r="80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</row>
    <row r="81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</row>
    <row r="82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</row>
    <row r="83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</row>
    <row r="84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</row>
    <row r="85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</row>
    <row r="86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</row>
    <row r="87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</row>
    <row r="88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</row>
    <row r="89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</row>
    <row r="90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</row>
    <row r="91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</row>
    <row r="92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</row>
    <row r="93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</row>
    <row r="94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</row>
    <row r="95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</row>
    <row r="96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</row>
    <row r="97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</row>
    <row r="98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</row>
    <row r="99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</row>
    <row r="100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</row>
    <row r="101">
      <c r="A101" s="58"/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</row>
    <row r="102">
      <c r="A102" s="58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</row>
    <row r="103">
      <c r="A103" s="58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</row>
    <row r="104">
      <c r="A104" s="58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</row>
    <row r="105">
      <c r="A105" s="58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</row>
    <row r="106">
      <c r="A106" s="58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</row>
    <row r="107">
      <c r="A107" s="58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</row>
    <row r="108">
      <c r="A108" s="58"/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</row>
    <row r="109">
      <c r="A109" s="58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</row>
    <row r="110">
      <c r="A110" s="58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</row>
    <row r="111">
      <c r="A111" s="58"/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</row>
    <row r="112">
      <c r="A112" s="58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</row>
    <row r="113">
      <c r="A113" s="58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</row>
    <row r="114">
      <c r="A114" s="58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</row>
    <row r="115">
      <c r="A115" s="58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</row>
    <row r="116">
      <c r="A116" s="58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</row>
    <row r="117">
      <c r="A117" s="58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</row>
    <row r="118">
      <c r="A118" s="58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</row>
    <row r="119">
      <c r="A119" s="58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</row>
    <row r="120">
      <c r="A120" s="58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</row>
    <row r="12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</row>
    <row r="122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</row>
    <row r="123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</row>
    <row r="124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</row>
    <row r="125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</row>
    <row r="126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</row>
    <row r="127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</row>
    <row r="128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</row>
    <row r="129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</row>
    <row r="130">
      <c r="A130" s="58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</row>
    <row r="131">
      <c r="A131" s="58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</row>
    <row r="132">
      <c r="A132" s="58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</row>
    <row r="133">
      <c r="A133" s="58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</row>
    <row r="134">
      <c r="A134" s="58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</row>
    <row r="135">
      <c r="A135" s="58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</row>
    <row r="136">
      <c r="A136" s="58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</row>
    <row r="137">
      <c r="A137" s="58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</row>
    <row r="138">
      <c r="A138" s="58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</row>
    <row r="139">
      <c r="A139" s="58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</row>
    <row r="140">
      <c r="A140" s="58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</row>
    <row r="141">
      <c r="A141" s="58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</row>
    <row r="142">
      <c r="A142" s="58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</row>
    <row r="143">
      <c r="A143" s="58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</row>
    <row r="144">
      <c r="A144" s="58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</row>
    <row r="145">
      <c r="A145" s="58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</row>
    <row r="146">
      <c r="A146" s="58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</row>
    <row r="147">
      <c r="A147" s="58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</row>
    <row r="148">
      <c r="A148" s="58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</row>
    <row r="149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</row>
    <row r="150">
      <c r="A150" s="58"/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</row>
    <row r="151">
      <c r="A151" s="58"/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</row>
    <row r="152">
      <c r="A152" s="58"/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</row>
    <row r="153">
      <c r="A153" s="58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</row>
    <row r="154">
      <c r="A154" s="58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</row>
    <row r="155">
      <c r="A155" s="58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</row>
    <row r="156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</row>
    <row r="157">
      <c r="A157" s="58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</row>
    <row r="158">
      <c r="A158" s="58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</row>
    <row r="159">
      <c r="A159" s="58"/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</row>
    <row r="160">
      <c r="A160" s="58"/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</row>
    <row r="161">
      <c r="A161" s="58"/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</row>
    <row r="162">
      <c r="A162" s="58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</row>
    <row r="163">
      <c r="A163" s="58"/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</row>
    <row r="164">
      <c r="A164" s="58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</row>
    <row r="165">
      <c r="A165" s="58"/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</row>
    <row r="166">
      <c r="A166" s="58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</row>
    <row r="167">
      <c r="A167" s="58"/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</row>
    <row r="168">
      <c r="A168" s="58"/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</row>
    <row r="169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</row>
    <row r="170">
      <c r="A170" s="58"/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</row>
    <row r="171">
      <c r="A171" s="58"/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</row>
    <row r="172">
      <c r="A172" s="58"/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</row>
    <row r="173">
      <c r="A173" s="58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</row>
    <row r="174">
      <c r="A174" s="58"/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</row>
    <row r="175">
      <c r="A175" s="58"/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</row>
    <row r="176">
      <c r="A176" s="58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</row>
    <row r="177">
      <c r="A177" s="58"/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</row>
    <row r="178">
      <c r="A178" s="58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</row>
    <row r="179">
      <c r="A179" s="58"/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</row>
    <row r="180">
      <c r="A180" s="58"/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</row>
    <row r="181">
      <c r="A181" s="58"/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</row>
    <row r="182">
      <c r="A182" s="58"/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</row>
    <row r="183">
      <c r="A183" s="58"/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</row>
    <row r="184">
      <c r="A184" s="58"/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</row>
    <row r="185">
      <c r="A185" s="58"/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</row>
    <row r="186">
      <c r="A186" s="58"/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</row>
    <row r="187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</row>
    <row r="188">
      <c r="A188" s="58"/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</row>
    <row r="189">
      <c r="A189" s="58"/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</row>
    <row r="190">
      <c r="A190" s="58"/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</row>
    <row r="191">
      <c r="A191" s="58"/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</row>
    <row r="192">
      <c r="A192" s="58"/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</row>
    <row r="193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</row>
    <row r="194">
      <c r="A194" s="58"/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</row>
    <row r="195">
      <c r="A195" s="58"/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</row>
    <row r="196">
      <c r="A196" s="58"/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</row>
    <row r="197">
      <c r="A197" s="58"/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</row>
    <row r="198">
      <c r="A198" s="58"/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</row>
    <row r="199">
      <c r="A199" s="58"/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</row>
    <row r="200">
      <c r="A200" s="58"/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</row>
    <row r="201">
      <c r="A201" s="58"/>
      <c r="B201" s="58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</row>
    <row r="202">
      <c r="A202" s="58"/>
      <c r="B202" s="58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</row>
    <row r="203">
      <c r="A203" s="58"/>
      <c r="B203" s="58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</row>
    <row r="204">
      <c r="A204" s="58"/>
      <c r="B204" s="58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</row>
    <row r="205">
      <c r="A205" s="58"/>
      <c r="B205" s="58"/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</row>
    <row r="206">
      <c r="A206" s="58"/>
      <c r="B206" s="58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</row>
    <row r="207">
      <c r="A207" s="58"/>
      <c r="B207" s="58"/>
      <c r="C207" s="58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</row>
    <row r="208">
      <c r="A208" s="58"/>
      <c r="B208" s="58"/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</row>
    <row r="209">
      <c r="A209" s="58"/>
      <c r="B209" s="58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</row>
    <row r="210">
      <c r="A210" s="58"/>
      <c r="B210" s="58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</row>
    <row r="211">
      <c r="A211" s="58"/>
      <c r="B211" s="58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</row>
    <row r="212">
      <c r="A212" s="58"/>
      <c r="B212" s="58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</row>
    <row r="213">
      <c r="A213" s="58"/>
      <c r="B213" s="58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</row>
    <row r="214">
      <c r="A214" s="58"/>
      <c r="B214" s="58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</row>
    <row r="215">
      <c r="A215" s="58"/>
      <c r="B215" s="58"/>
      <c r="C215" s="58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</row>
    <row r="216">
      <c r="A216" s="58"/>
      <c r="B216" s="58"/>
      <c r="C216" s="58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</row>
    <row r="217">
      <c r="A217" s="58"/>
      <c r="B217" s="58"/>
      <c r="C217" s="58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</row>
    <row r="218">
      <c r="A218" s="58"/>
      <c r="B218" s="58"/>
      <c r="C218" s="58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</row>
    <row r="219">
      <c r="A219" s="58"/>
      <c r="B219" s="58"/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</row>
    <row r="220">
      <c r="A220" s="58"/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</row>
    <row r="221">
      <c r="A221" s="58"/>
      <c r="B221" s="58"/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</row>
    <row r="222">
      <c r="A222" s="58"/>
      <c r="B222" s="58"/>
      <c r="C222" s="58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</row>
    <row r="223">
      <c r="A223" s="58"/>
      <c r="B223" s="58"/>
      <c r="C223" s="58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</row>
    <row r="224">
      <c r="A224" s="58"/>
      <c r="B224" s="58"/>
      <c r="C224" s="58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</row>
    <row r="225">
      <c r="A225" s="58"/>
      <c r="B225" s="58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</row>
    <row r="226">
      <c r="A226" s="58"/>
      <c r="B226" s="58"/>
      <c r="C226" s="58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</row>
    <row r="227">
      <c r="A227" s="58"/>
      <c r="B227" s="58"/>
      <c r="C227" s="58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</row>
    <row r="228">
      <c r="A228" s="58"/>
      <c r="B228" s="58"/>
      <c r="C228" s="58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</row>
    <row r="229">
      <c r="A229" s="58"/>
      <c r="B229" s="58"/>
      <c r="C229" s="58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</row>
    <row r="230">
      <c r="A230" s="58"/>
      <c r="B230" s="58"/>
      <c r="C230" s="58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</row>
    <row r="231">
      <c r="A231" s="58"/>
      <c r="B231" s="58"/>
      <c r="C231" s="58"/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</row>
    <row r="232">
      <c r="A232" s="58"/>
      <c r="B232" s="58"/>
      <c r="C232" s="58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</row>
    <row r="233">
      <c r="A233" s="58"/>
      <c r="B233" s="58"/>
      <c r="C233" s="58"/>
      <c r="D233" s="58"/>
      <c r="E233" s="58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</row>
    <row r="234">
      <c r="A234" s="58"/>
      <c r="B234" s="58"/>
      <c r="C234" s="58"/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</row>
    <row r="235">
      <c r="A235" s="58"/>
      <c r="B235" s="58"/>
      <c r="C235" s="58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</row>
    <row r="236">
      <c r="A236" s="58"/>
      <c r="B236" s="58"/>
      <c r="C236" s="58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</row>
    <row r="237">
      <c r="A237" s="58"/>
      <c r="B237" s="58"/>
      <c r="C237" s="58"/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</row>
    <row r="238">
      <c r="A238" s="58"/>
      <c r="B238" s="58"/>
      <c r="C238" s="58"/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</row>
    <row r="239">
      <c r="A239" s="58"/>
      <c r="B239" s="58"/>
      <c r="C239" s="58"/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</row>
    <row r="240">
      <c r="A240" s="58"/>
      <c r="B240" s="58"/>
      <c r="C240" s="58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</row>
    <row r="241">
      <c r="A241" s="58"/>
      <c r="B241" s="58"/>
      <c r="C241" s="58"/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</row>
    <row r="242">
      <c r="A242" s="58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</row>
    <row r="243">
      <c r="A243" s="58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</row>
    <row r="244">
      <c r="A244" s="58"/>
      <c r="B244" s="58"/>
      <c r="C244" s="58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</row>
    <row r="245">
      <c r="A245" s="58"/>
      <c r="B245" s="58"/>
      <c r="C245" s="58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</row>
    <row r="246">
      <c r="A246" s="58"/>
      <c r="B246" s="58"/>
      <c r="C246" s="58"/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</row>
    <row r="247">
      <c r="A247" s="58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</row>
    <row r="248">
      <c r="A248" s="58"/>
      <c r="B248" s="58"/>
      <c r="C248" s="58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</row>
    <row r="249">
      <c r="A249" s="58"/>
      <c r="B249" s="58"/>
      <c r="C249" s="58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</row>
    <row r="250">
      <c r="A250" s="58"/>
      <c r="B250" s="58"/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</row>
    <row r="251">
      <c r="A251" s="58"/>
      <c r="B251" s="58"/>
      <c r="C251" s="58"/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</row>
    <row r="252">
      <c r="A252" s="58"/>
      <c r="B252" s="58"/>
      <c r="C252" s="58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</row>
    <row r="253">
      <c r="A253" s="58"/>
      <c r="B253" s="58"/>
      <c r="C253" s="58"/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</row>
    <row r="254">
      <c r="A254" s="58"/>
      <c r="B254" s="58"/>
      <c r="C254" s="58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</row>
    <row r="255">
      <c r="A255" s="58"/>
      <c r="B255" s="58"/>
      <c r="C255" s="58"/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</row>
    <row r="256">
      <c r="A256" s="58"/>
      <c r="B256" s="58"/>
      <c r="C256" s="58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</row>
    <row r="257">
      <c r="A257" s="58"/>
      <c r="B257" s="58"/>
      <c r="C257" s="58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</row>
    <row r="258">
      <c r="A258" s="58"/>
      <c r="B258" s="58"/>
      <c r="C258" s="58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</row>
    <row r="259">
      <c r="A259" s="58"/>
      <c r="B259" s="58"/>
      <c r="C259" s="58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</row>
    <row r="260">
      <c r="A260" s="58"/>
      <c r="B260" s="58"/>
      <c r="C260" s="58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</row>
    <row r="261">
      <c r="A261" s="58"/>
      <c r="B261" s="58"/>
      <c r="C261" s="58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</row>
    <row r="262">
      <c r="A262" s="58"/>
      <c r="B262" s="58"/>
      <c r="C262" s="58"/>
      <c r="D262" s="58"/>
      <c r="E262" s="58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</row>
    <row r="263">
      <c r="A263" s="58"/>
      <c r="B263" s="58"/>
      <c r="C263" s="58"/>
      <c r="D263" s="58"/>
      <c r="E263" s="58"/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</row>
    <row r="264">
      <c r="A264" s="58"/>
      <c r="B264" s="58"/>
      <c r="C264" s="58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</row>
    <row r="265">
      <c r="A265" s="58"/>
      <c r="B265" s="58"/>
      <c r="C265" s="58"/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</row>
    <row r="266">
      <c r="A266" s="58"/>
      <c r="B266" s="58"/>
      <c r="C266" s="58"/>
      <c r="D266" s="58"/>
      <c r="E266" s="58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</row>
    <row r="267">
      <c r="A267" s="58"/>
      <c r="B267" s="58"/>
      <c r="C267" s="58"/>
      <c r="D267" s="58"/>
      <c r="E267" s="58"/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</row>
    <row r="268">
      <c r="A268" s="58"/>
      <c r="B268" s="58"/>
      <c r="C268" s="58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</row>
    <row r="269">
      <c r="A269" s="58"/>
      <c r="B269" s="58"/>
      <c r="C269" s="58"/>
      <c r="D269" s="58"/>
      <c r="E269" s="58"/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</row>
    <row r="270">
      <c r="A270" s="58"/>
      <c r="B270" s="58"/>
      <c r="C270" s="58"/>
      <c r="D270" s="58"/>
      <c r="E270" s="58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</row>
    <row r="271">
      <c r="A271" s="58"/>
      <c r="B271" s="58"/>
      <c r="C271" s="58"/>
      <c r="D271" s="58"/>
      <c r="E271" s="58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</row>
    <row r="272">
      <c r="A272" s="58"/>
      <c r="B272" s="58"/>
      <c r="C272" s="58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</row>
    <row r="273">
      <c r="A273" s="58"/>
      <c r="B273" s="58"/>
      <c r="C273" s="58"/>
      <c r="D273" s="58"/>
      <c r="E273" s="58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</row>
    <row r="274">
      <c r="A274" s="58"/>
      <c r="B274" s="58"/>
      <c r="C274" s="58"/>
      <c r="D274" s="58"/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</row>
    <row r="275">
      <c r="A275" s="58"/>
      <c r="B275" s="58"/>
      <c r="C275" s="58"/>
      <c r="D275" s="58"/>
      <c r="E275" s="58"/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</row>
    <row r="276">
      <c r="A276" s="58"/>
      <c r="B276" s="58"/>
      <c r="C276" s="58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</row>
    <row r="277">
      <c r="A277" s="58"/>
      <c r="B277" s="58"/>
      <c r="C277" s="58"/>
      <c r="D277" s="58"/>
      <c r="E277" s="58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</row>
    <row r="278">
      <c r="A278" s="58"/>
      <c r="B278" s="58"/>
      <c r="C278" s="58"/>
      <c r="D278" s="58"/>
      <c r="E278" s="58"/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</row>
    <row r="279">
      <c r="A279" s="58"/>
      <c r="B279" s="58"/>
      <c r="C279" s="58"/>
      <c r="D279" s="58"/>
      <c r="E279" s="58"/>
      <c r="F279" s="58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</row>
    <row r="280">
      <c r="A280" s="58"/>
      <c r="B280" s="58"/>
      <c r="C280" s="58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</row>
    <row r="281">
      <c r="A281" s="58"/>
      <c r="B281" s="58"/>
      <c r="C281" s="58"/>
      <c r="D281" s="58"/>
      <c r="E281" s="58"/>
      <c r="F281" s="58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</row>
    <row r="282">
      <c r="A282" s="58"/>
      <c r="B282" s="58"/>
      <c r="C282" s="58"/>
      <c r="D282" s="58"/>
      <c r="E282" s="58"/>
      <c r="F282" s="58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</row>
    <row r="283">
      <c r="A283" s="58"/>
      <c r="B283" s="58"/>
      <c r="C283" s="58"/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</row>
    <row r="284">
      <c r="A284" s="58"/>
      <c r="B284" s="58"/>
      <c r="C284" s="58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</row>
    <row r="285">
      <c r="A285" s="58"/>
      <c r="B285" s="58"/>
      <c r="C285" s="58"/>
      <c r="D285" s="58"/>
      <c r="E285" s="58"/>
      <c r="F285" s="58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</row>
    <row r="286">
      <c r="A286" s="58"/>
      <c r="B286" s="58"/>
      <c r="C286" s="58"/>
      <c r="D286" s="58"/>
      <c r="E286" s="58"/>
      <c r="F286" s="58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</row>
    <row r="287">
      <c r="A287" s="58"/>
      <c r="B287" s="58"/>
      <c r="C287" s="58"/>
      <c r="D287" s="58"/>
      <c r="E287" s="58"/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</row>
    <row r="288">
      <c r="A288" s="58"/>
      <c r="B288" s="58"/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</row>
    <row r="289">
      <c r="A289" s="58"/>
      <c r="B289" s="58"/>
      <c r="C289" s="58"/>
      <c r="D289" s="58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</row>
    <row r="290">
      <c r="A290" s="58"/>
      <c r="B290" s="58"/>
      <c r="C290" s="58"/>
      <c r="D290" s="58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</row>
    <row r="291">
      <c r="A291" s="58"/>
      <c r="B291" s="58"/>
      <c r="C291" s="58"/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</row>
    <row r="292">
      <c r="A292" s="58"/>
      <c r="B292" s="58"/>
      <c r="C292" s="58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</row>
    <row r="293">
      <c r="A293" s="58"/>
      <c r="B293" s="58"/>
      <c r="C293" s="58"/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</row>
    <row r="294">
      <c r="A294" s="58"/>
      <c r="B294" s="58"/>
      <c r="C294" s="58"/>
      <c r="D294" s="58"/>
      <c r="E294" s="58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</row>
    <row r="295">
      <c r="A295" s="58"/>
      <c r="B295" s="58"/>
      <c r="C295" s="58"/>
      <c r="D295" s="58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</row>
    <row r="296">
      <c r="A296" s="58"/>
      <c r="B296" s="58"/>
      <c r="C296" s="58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</row>
    <row r="297">
      <c r="A297" s="58"/>
      <c r="B297" s="58"/>
      <c r="C297" s="58"/>
      <c r="D297" s="58"/>
      <c r="E297" s="58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</row>
    <row r="298">
      <c r="A298" s="58"/>
      <c r="B298" s="58"/>
      <c r="C298" s="58"/>
      <c r="D298" s="58"/>
      <c r="E298" s="58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</row>
    <row r="299">
      <c r="A299" s="58"/>
      <c r="B299" s="58"/>
      <c r="C299" s="58"/>
      <c r="D299" s="58"/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</row>
    <row r="300">
      <c r="A300" s="58"/>
      <c r="B300" s="58"/>
      <c r="C300" s="58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</row>
    <row r="301">
      <c r="A301" s="58"/>
      <c r="B301" s="58"/>
      <c r="C301" s="58"/>
      <c r="D301" s="58"/>
      <c r="E301" s="58"/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</row>
    <row r="302">
      <c r="A302" s="58"/>
      <c r="B302" s="58"/>
      <c r="C302" s="58"/>
      <c r="D302" s="58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</row>
    <row r="303">
      <c r="A303" s="58"/>
      <c r="B303" s="58"/>
      <c r="C303" s="58"/>
      <c r="D303" s="58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</row>
    <row r="304">
      <c r="A304" s="58"/>
      <c r="B304" s="58"/>
      <c r="C304" s="58"/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</row>
    <row r="305">
      <c r="A305" s="58"/>
      <c r="B305" s="58"/>
      <c r="C305" s="58"/>
      <c r="D305" s="58"/>
      <c r="E305" s="58"/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</row>
    <row r="306">
      <c r="A306" s="58"/>
      <c r="B306" s="58"/>
      <c r="C306" s="58"/>
      <c r="D306" s="58"/>
      <c r="E306" s="58"/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</row>
    <row r="307">
      <c r="A307" s="58"/>
      <c r="B307" s="58"/>
      <c r="C307" s="58"/>
      <c r="D307" s="58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</row>
    <row r="308">
      <c r="A308" s="58"/>
      <c r="B308" s="58"/>
      <c r="C308" s="58"/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</row>
    <row r="309">
      <c r="A309" s="58"/>
      <c r="B309" s="58"/>
      <c r="C309" s="58"/>
      <c r="D309" s="58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</row>
    <row r="310">
      <c r="A310" s="58"/>
      <c r="B310" s="58"/>
      <c r="C310" s="58"/>
      <c r="D310" s="58"/>
      <c r="E310" s="58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</row>
    <row r="311">
      <c r="A311" s="58"/>
      <c r="B311" s="58"/>
      <c r="C311" s="58"/>
      <c r="D311" s="58"/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</row>
    <row r="312">
      <c r="A312" s="58"/>
      <c r="B312" s="58"/>
      <c r="C312" s="58"/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</row>
    <row r="313">
      <c r="A313" s="58"/>
      <c r="B313" s="58"/>
      <c r="C313" s="58"/>
      <c r="D313" s="58"/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</row>
    <row r="314">
      <c r="A314" s="58"/>
      <c r="B314" s="58"/>
      <c r="C314" s="58"/>
      <c r="D314" s="58"/>
      <c r="E314" s="58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</row>
    <row r="315">
      <c r="A315" s="58"/>
      <c r="B315" s="58"/>
      <c r="C315" s="58"/>
      <c r="D315" s="58"/>
      <c r="E315" s="58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</row>
    <row r="316">
      <c r="A316" s="58"/>
      <c r="B316" s="58"/>
      <c r="C316" s="58"/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</row>
    <row r="317">
      <c r="A317" s="58"/>
      <c r="B317" s="58"/>
      <c r="C317" s="58"/>
      <c r="D317" s="58"/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</row>
    <row r="318">
      <c r="A318" s="58"/>
      <c r="B318" s="58"/>
      <c r="C318" s="58"/>
      <c r="D318" s="58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</row>
    <row r="319">
      <c r="A319" s="58"/>
      <c r="B319" s="58"/>
      <c r="C319" s="58"/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</row>
    <row r="320">
      <c r="A320" s="58"/>
      <c r="B320" s="58"/>
      <c r="C320" s="58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</row>
    <row r="321">
      <c r="A321" s="58"/>
      <c r="B321" s="58"/>
      <c r="C321" s="58"/>
      <c r="D321" s="58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</row>
    <row r="322">
      <c r="A322" s="58"/>
      <c r="B322" s="58"/>
      <c r="C322" s="58"/>
      <c r="D322" s="58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</row>
    <row r="323">
      <c r="A323" s="58"/>
      <c r="B323" s="58"/>
      <c r="C323" s="58"/>
      <c r="D323" s="58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</row>
    <row r="324">
      <c r="A324" s="58"/>
      <c r="B324" s="58"/>
      <c r="C324" s="58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</row>
    <row r="325">
      <c r="A325" s="58"/>
      <c r="B325" s="58"/>
      <c r="C325" s="58"/>
      <c r="D325" s="58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</row>
    <row r="326">
      <c r="A326" s="58"/>
      <c r="B326" s="58"/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</row>
    <row r="327">
      <c r="A327" s="58"/>
      <c r="B327" s="58"/>
      <c r="C327" s="58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</row>
    <row r="328">
      <c r="A328" s="58"/>
      <c r="B328" s="58"/>
      <c r="C328" s="58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</row>
    <row r="329">
      <c r="A329" s="58"/>
      <c r="B329" s="58"/>
      <c r="C329" s="58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</row>
    <row r="330">
      <c r="A330" s="58"/>
      <c r="B330" s="58"/>
      <c r="C330" s="58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</row>
    <row r="331">
      <c r="A331" s="58"/>
      <c r="B331" s="58"/>
      <c r="C331" s="58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</row>
    <row r="332">
      <c r="A332" s="58"/>
      <c r="B332" s="58"/>
      <c r="C332" s="58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</row>
    <row r="333">
      <c r="A333" s="58"/>
      <c r="B333" s="58"/>
      <c r="C333" s="58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</row>
    <row r="334">
      <c r="A334" s="58"/>
      <c r="B334" s="58"/>
      <c r="C334" s="58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</row>
    <row r="335">
      <c r="A335" s="58"/>
      <c r="B335" s="58"/>
      <c r="C335" s="58"/>
      <c r="D335" s="58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</row>
    <row r="336">
      <c r="A336" s="58"/>
      <c r="B336" s="58"/>
      <c r="C336" s="58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</row>
    <row r="337">
      <c r="A337" s="58"/>
      <c r="B337" s="58"/>
      <c r="C337" s="58"/>
      <c r="D337" s="58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</row>
    <row r="338">
      <c r="A338" s="58"/>
      <c r="B338" s="58"/>
      <c r="C338" s="58"/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</row>
    <row r="339">
      <c r="A339" s="58"/>
      <c r="B339" s="58"/>
      <c r="C339" s="58"/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</row>
    <row r="340">
      <c r="A340" s="58"/>
      <c r="B340" s="58"/>
      <c r="C340" s="58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</row>
    <row r="341">
      <c r="A341" s="58"/>
      <c r="B341" s="58"/>
      <c r="C341" s="58"/>
      <c r="D341" s="58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</row>
    <row r="342">
      <c r="A342" s="58"/>
      <c r="B342" s="58"/>
      <c r="C342" s="58"/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</row>
    <row r="343">
      <c r="A343" s="58"/>
      <c r="B343" s="58"/>
      <c r="C343" s="58"/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</row>
    <row r="344">
      <c r="A344" s="58"/>
      <c r="B344" s="58"/>
      <c r="C344" s="58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</row>
    <row r="345">
      <c r="A345" s="58"/>
      <c r="B345" s="58"/>
      <c r="C345" s="58"/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</row>
    <row r="346">
      <c r="A346" s="58"/>
      <c r="B346" s="58"/>
      <c r="C346" s="58"/>
      <c r="D346" s="58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</row>
    <row r="347">
      <c r="A347" s="58"/>
      <c r="B347" s="58"/>
      <c r="C347" s="58"/>
      <c r="D347" s="58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</row>
    <row r="348">
      <c r="A348" s="58"/>
      <c r="B348" s="58"/>
      <c r="C348" s="58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</row>
    <row r="349">
      <c r="A349" s="58"/>
      <c r="B349" s="58"/>
      <c r="C349" s="58"/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</row>
    <row r="350">
      <c r="A350" s="58"/>
      <c r="B350" s="58"/>
      <c r="C350" s="58"/>
      <c r="D350" s="58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</row>
    <row r="351">
      <c r="A351" s="58"/>
      <c r="B351" s="58"/>
      <c r="C351" s="58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</row>
    <row r="352">
      <c r="A352" s="58"/>
      <c r="B352" s="58"/>
      <c r="C352" s="58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</row>
    <row r="353">
      <c r="A353" s="58"/>
      <c r="B353" s="58"/>
      <c r="C353" s="58"/>
      <c r="D353" s="58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</row>
    <row r="354">
      <c r="A354" s="58"/>
      <c r="B354" s="58"/>
      <c r="C354" s="58"/>
      <c r="D354" s="58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</row>
    <row r="355">
      <c r="A355" s="58"/>
      <c r="B355" s="58"/>
      <c r="C355" s="58"/>
      <c r="D355" s="58"/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</row>
    <row r="356">
      <c r="A356" s="58"/>
      <c r="B356" s="58"/>
      <c r="C356" s="58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</row>
    <row r="357">
      <c r="A357" s="58"/>
      <c r="B357" s="58"/>
      <c r="C357" s="58"/>
      <c r="D357" s="58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</row>
    <row r="358">
      <c r="A358" s="58"/>
      <c r="B358" s="58"/>
      <c r="C358" s="58"/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</row>
    <row r="359">
      <c r="A359" s="58"/>
      <c r="B359" s="58"/>
      <c r="C359" s="58"/>
      <c r="D359" s="58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</row>
    <row r="360">
      <c r="A360" s="58"/>
      <c r="B360" s="58"/>
      <c r="C360" s="58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</row>
    <row r="361">
      <c r="A361" s="58"/>
      <c r="B361" s="58"/>
      <c r="C361" s="58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</row>
    <row r="362">
      <c r="A362" s="58"/>
      <c r="B362" s="58"/>
      <c r="C362" s="58"/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</row>
    <row r="363">
      <c r="A363" s="58"/>
      <c r="B363" s="58"/>
      <c r="C363" s="58"/>
      <c r="D363" s="58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</row>
    <row r="364">
      <c r="A364" s="58"/>
      <c r="B364" s="58"/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</row>
    <row r="365">
      <c r="A365" s="58"/>
      <c r="B365" s="58"/>
      <c r="C365" s="58"/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</row>
    <row r="366">
      <c r="A366" s="58"/>
      <c r="B366" s="58"/>
      <c r="C366" s="58"/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</row>
    <row r="367">
      <c r="A367" s="58"/>
      <c r="B367" s="58"/>
      <c r="C367" s="58"/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</row>
    <row r="368">
      <c r="A368" s="58"/>
      <c r="B368" s="58"/>
      <c r="C368" s="58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</row>
    <row r="369">
      <c r="A369" s="58"/>
      <c r="B369" s="58"/>
      <c r="C369" s="58"/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</row>
    <row r="370">
      <c r="A370" s="58"/>
      <c r="B370" s="58"/>
      <c r="C370" s="58"/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</row>
    <row r="371">
      <c r="A371" s="58"/>
      <c r="B371" s="58"/>
      <c r="C371" s="58"/>
      <c r="D371" s="58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</row>
    <row r="372">
      <c r="A372" s="58"/>
      <c r="B372" s="58"/>
      <c r="C372" s="58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</row>
    <row r="373">
      <c r="A373" s="58"/>
      <c r="B373" s="58"/>
      <c r="C373" s="58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</row>
    <row r="374">
      <c r="A374" s="58"/>
      <c r="B374" s="58"/>
      <c r="C374" s="58"/>
      <c r="D374" s="58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</row>
    <row r="375">
      <c r="A375" s="58"/>
      <c r="B375" s="58"/>
      <c r="C375" s="58"/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</row>
    <row r="376">
      <c r="A376" s="58"/>
      <c r="B376" s="58"/>
      <c r="C376" s="58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</row>
    <row r="377">
      <c r="A377" s="58"/>
      <c r="B377" s="58"/>
      <c r="C377" s="58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</row>
    <row r="378">
      <c r="A378" s="58"/>
      <c r="B378" s="58"/>
      <c r="C378" s="58"/>
      <c r="D378" s="58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</row>
    <row r="379">
      <c r="A379" s="58"/>
      <c r="B379" s="58"/>
      <c r="C379" s="58"/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</row>
    <row r="380">
      <c r="A380" s="58"/>
      <c r="B380" s="58"/>
      <c r="C380" s="58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</row>
    <row r="381">
      <c r="A381" s="58"/>
      <c r="B381" s="58"/>
      <c r="C381" s="58"/>
      <c r="D381" s="58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</row>
    <row r="382">
      <c r="A382" s="58"/>
      <c r="B382" s="58"/>
      <c r="C382" s="58"/>
      <c r="D382" s="58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</row>
    <row r="383">
      <c r="A383" s="58"/>
      <c r="B383" s="58"/>
      <c r="C383" s="58"/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</row>
    <row r="384">
      <c r="A384" s="58"/>
      <c r="B384" s="58"/>
      <c r="C384" s="58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</row>
    <row r="385">
      <c r="A385" s="58"/>
      <c r="B385" s="58"/>
      <c r="C385" s="58"/>
      <c r="D385" s="58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</row>
    <row r="386">
      <c r="A386" s="58"/>
      <c r="B386" s="58"/>
      <c r="C386" s="58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</row>
    <row r="387">
      <c r="A387" s="58"/>
      <c r="B387" s="58"/>
      <c r="C387" s="58"/>
      <c r="D387" s="58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</row>
    <row r="388">
      <c r="A388" s="58"/>
      <c r="B388" s="58"/>
      <c r="C388" s="58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</row>
    <row r="389">
      <c r="A389" s="58"/>
      <c r="B389" s="58"/>
      <c r="C389" s="58"/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</row>
    <row r="390">
      <c r="A390" s="58"/>
      <c r="B390" s="58"/>
      <c r="C390" s="58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</row>
    <row r="391">
      <c r="A391" s="58"/>
      <c r="B391" s="58"/>
      <c r="C391" s="58"/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</row>
    <row r="392">
      <c r="A392" s="58"/>
      <c r="B392" s="58"/>
      <c r="C392" s="58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</row>
    <row r="393">
      <c r="A393" s="58"/>
      <c r="B393" s="58"/>
      <c r="C393" s="58"/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</row>
    <row r="394">
      <c r="A394" s="58"/>
      <c r="B394" s="58"/>
      <c r="C394" s="58"/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</row>
    <row r="395">
      <c r="A395" s="58"/>
      <c r="B395" s="58"/>
      <c r="C395" s="58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</row>
    <row r="396">
      <c r="A396" s="58"/>
      <c r="B396" s="58"/>
      <c r="C396" s="58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</row>
    <row r="397">
      <c r="A397" s="58"/>
      <c r="B397" s="58"/>
      <c r="C397" s="58"/>
      <c r="D397" s="58"/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</row>
    <row r="398">
      <c r="A398" s="58"/>
      <c r="B398" s="58"/>
      <c r="C398" s="58"/>
      <c r="D398" s="58"/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</row>
    <row r="399">
      <c r="A399" s="58"/>
      <c r="B399" s="58"/>
      <c r="C399" s="58"/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</row>
    <row r="400">
      <c r="A400" s="58"/>
      <c r="B400" s="58"/>
      <c r="C400" s="58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</row>
    <row r="401">
      <c r="A401" s="58"/>
      <c r="B401" s="58"/>
      <c r="C401" s="58"/>
      <c r="D401" s="58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</row>
    <row r="402">
      <c r="A402" s="58"/>
      <c r="B402" s="58"/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</row>
    <row r="403">
      <c r="A403" s="58"/>
      <c r="B403" s="58"/>
      <c r="C403" s="58"/>
      <c r="D403" s="58"/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</row>
    <row r="404">
      <c r="A404" s="58"/>
      <c r="B404" s="58"/>
      <c r="C404" s="58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</row>
    <row r="405">
      <c r="A405" s="58"/>
      <c r="B405" s="58"/>
      <c r="C405" s="58"/>
      <c r="D405" s="58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</row>
    <row r="406">
      <c r="A406" s="58"/>
      <c r="B406" s="58"/>
      <c r="C406" s="58"/>
      <c r="D406" s="58"/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</row>
    <row r="407">
      <c r="A407" s="58"/>
      <c r="B407" s="58"/>
      <c r="C407" s="58"/>
      <c r="D407" s="58"/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</row>
    <row r="408">
      <c r="A408" s="58"/>
      <c r="B408" s="58"/>
      <c r="C408" s="58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</row>
    <row r="409">
      <c r="A409" s="58"/>
      <c r="B409" s="58"/>
      <c r="C409" s="58"/>
      <c r="D409" s="58"/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</row>
    <row r="410">
      <c r="A410" s="58"/>
      <c r="B410" s="58"/>
      <c r="C410" s="58"/>
      <c r="D410" s="58"/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</row>
    <row r="411">
      <c r="A411" s="58"/>
      <c r="B411" s="58"/>
      <c r="C411" s="58"/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</row>
    <row r="412">
      <c r="A412" s="58"/>
      <c r="B412" s="58"/>
      <c r="C412" s="58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</row>
    <row r="413">
      <c r="A413" s="58"/>
      <c r="B413" s="58"/>
      <c r="C413" s="58"/>
      <c r="D413" s="58"/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</row>
    <row r="414">
      <c r="A414" s="58"/>
      <c r="B414" s="58"/>
      <c r="C414" s="58"/>
      <c r="D414" s="58"/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</row>
    <row r="415">
      <c r="A415" s="58"/>
      <c r="B415" s="58"/>
      <c r="C415" s="58"/>
      <c r="D415" s="58"/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</row>
    <row r="416">
      <c r="A416" s="58"/>
      <c r="B416" s="58"/>
      <c r="C416" s="58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</row>
    <row r="417">
      <c r="A417" s="58"/>
      <c r="B417" s="58"/>
      <c r="C417" s="58"/>
      <c r="D417" s="58"/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</row>
    <row r="418">
      <c r="A418" s="58"/>
      <c r="B418" s="58"/>
      <c r="C418" s="58"/>
      <c r="D418" s="58"/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</row>
    <row r="419">
      <c r="A419" s="58"/>
      <c r="B419" s="58"/>
      <c r="C419" s="58"/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</row>
    <row r="420">
      <c r="A420" s="58"/>
      <c r="B420" s="58"/>
      <c r="C420" s="58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</row>
    <row r="421">
      <c r="A421" s="58"/>
      <c r="B421" s="58"/>
      <c r="C421" s="58"/>
      <c r="D421" s="58"/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</row>
    <row r="422">
      <c r="A422" s="58"/>
      <c r="B422" s="58"/>
      <c r="C422" s="58"/>
      <c r="D422" s="58"/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</row>
    <row r="423">
      <c r="A423" s="58"/>
      <c r="B423" s="58"/>
      <c r="C423" s="58"/>
      <c r="D423" s="58"/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</row>
    <row r="424">
      <c r="A424" s="58"/>
      <c r="B424" s="58"/>
      <c r="C424" s="58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</row>
    <row r="425">
      <c r="A425" s="58"/>
      <c r="B425" s="58"/>
      <c r="C425" s="58"/>
      <c r="D425" s="58"/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</row>
    <row r="426">
      <c r="A426" s="58"/>
      <c r="B426" s="58"/>
      <c r="C426" s="58"/>
      <c r="D426" s="58"/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</row>
    <row r="427">
      <c r="A427" s="58"/>
      <c r="B427" s="58"/>
      <c r="C427" s="58"/>
      <c r="D427" s="58"/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</row>
    <row r="428">
      <c r="A428" s="58"/>
      <c r="B428" s="58"/>
      <c r="C428" s="58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</row>
    <row r="429">
      <c r="A429" s="58"/>
      <c r="B429" s="58"/>
      <c r="C429" s="58"/>
      <c r="D429" s="58"/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</row>
    <row r="430">
      <c r="A430" s="58"/>
      <c r="B430" s="58"/>
      <c r="C430" s="58"/>
      <c r="D430" s="58"/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</row>
    <row r="431">
      <c r="A431" s="58"/>
      <c r="B431" s="58"/>
      <c r="C431" s="58"/>
      <c r="D431" s="58"/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</row>
    <row r="432">
      <c r="A432" s="58"/>
      <c r="B432" s="58"/>
      <c r="C432" s="58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</row>
    <row r="433">
      <c r="A433" s="58"/>
      <c r="B433" s="58"/>
      <c r="C433" s="58"/>
      <c r="D433" s="58"/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</row>
    <row r="434">
      <c r="A434" s="58"/>
      <c r="B434" s="58"/>
      <c r="C434" s="58"/>
      <c r="D434" s="58"/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</row>
    <row r="435">
      <c r="A435" s="58"/>
      <c r="B435" s="58"/>
      <c r="C435" s="58"/>
      <c r="D435" s="58"/>
      <c r="E435" s="58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</row>
    <row r="436">
      <c r="A436" s="58"/>
      <c r="B436" s="58"/>
      <c r="C436" s="58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</row>
    <row r="437">
      <c r="A437" s="58"/>
      <c r="B437" s="58"/>
      <c r="C437" s="58"/>
      <c r="D437" s="58"/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</row>
    <row r="438">
      <c r="A438" s="58"/>
      <c r="B438" s="58"/>
      <c r="C438" s="58"/>
      <c r="D438" s="58"/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</row>
    <row r="439">
      <c r="A439" s="58"/>
      <c r="B439" s="58"/>
      <c r="C439" s="58"/>
      <c r="D439" s="58"/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</row>
    <row r="440">
      <c r="A440" s="58"/>
      <c r="B440" s="58"/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</row>
    <row r="441">
      <c r="A441" s="58"/>
      <c r="B441" s="58"/>
      <c r="C441" s="58"/>
      <c r="D441" s="58"/>
      <c r="E441" s="58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</row>
    <row r="442">
      <c r="A442" s="58"/>
      <c r="B442" s="58"/>
      <c r="C442" s="58"/>
      <c r="D442" s="58"/>
      <c r="E442" s="58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</row>
    <row r="443">
      <c r="A443" s="58"/>
      <c r="B443" s="58"/>
      <c r="C443" s="58"/>
      <c r="D443" s="58"/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</row>
    <row r="444">
      <c r="A444" s="58"/>
      <c r="B444" s="58"/>
      <c r="C444" s="58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</row>
    <row r="445">
      <c r="A445" s="58"/>
      <c r="B445" s="58"/>
      <c r="C445" s="58"/>
      <c r="D445" s="58"/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</row>
    <row r="446">
      <c r="A446" s="58"/>
      <c r="B446" s="58"/>
      <c r="C446" s="58"/>
      <c r="D446" s="58"/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</row>
    <row r="447">
      <c r="A447" s="58"/>
      <c r="B447" s="58"/>
      <c r="C447" s="58"/>
      <c r="D447" s="58"/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</row>
    <row r="448">
      <c r="A448" s="58"/>
      <c r="B448" s="58"/>
      <c r="C448" s="58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</row>
    <row r="449">
      <c r="A449" s="58"/>
      <c r="B449" s="58"/>
      <c r="C449" s="58"/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</row>
    <row r="450">
      <c r="A450" s="58"/>
      <c r="B450" s="58"/>
      <c r="C450" s="58"/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</row>
    <row r="451">
      <c r="A451" s="58"/>
      <c r="B451" s="58"/>
      <c r="C451" s="58"/>
      <c r="D451" s="58"/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</row>
    <row r="452">
      <c r="A452" s="58"/>
      <c r="B452" s="58"/>
      <c r="C452" s="58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</row>
    <row r="453">
      <c r="A453" s="58"/>
      <c r="B453" s="58"/>
      <c r="C453" s="58"/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</row>
    <row r="454">
      <c r="A454" s="58"/>
      <c r="B454" s="58"/>
      <c r="C454" s="58"/>
      <c r="D454" s="58"/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</row>
    <row r="455">
      <c r="A455" s="58"/>
      <c r="B455" s="58"/>
      <c r="C455" s="58"/>
      <c r="D455" s="58"/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</row>
    <row r="456">
      <c r="A456" s="58"/>
      <c r="B456" s="58"/>
      <c r="C456" s="58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</row>
    <row r="457">
      <c r="A457" s="58"/>
      <c r="B457" s="58"/>
      <c r="C457" s="58"/>
      <c r="D457" s="58"/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</row>
    <row r="458">
      <c r="A458" s="58"/>
      <c r="B458" s="58"/>
      <c r="C458" s="58"/>
      <c r="D458" s="58"/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</row>
    <row r="459">
      <c r="A459" s="58"/>
      <c r="B459" s="58"/>
      <c r="C459" s="58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</row>
    <row r="460">
      <c r="A460" s="58"/>
      <c r="B460" s="58"/>
      <c r="C460" s="58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</row>
    <row r="461">
      <c r="A461" s="58"/>
      <c r="B461" s="58"/>
      <c r="C461" s="58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</row>
    <row r="462">
      <c r="A462" s="58"/>
      <c r="B462" s="58"/>
      <c r="C462" s="58"/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</row>
    <row r="463">
      <c r="A463" s="58"/>
      <c r="B463" s="58"/>
      <c r="C463" s="58"/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</row>
    <row r="464">
      <c r="A464" s="58"/>
      <c r="B464" s="58"/>
      <c r="C464" s="58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</row>
    <row r="465">
      <c r="A465" s="58"/>
      <c r="B465" s="58"/>
      <c r="C465" s="58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</row>
    <row r="466">
      <c r="A466" s="58"/>
      <c r="B466" s="58"/>
      <c r="C466" s="58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</row>
    <row r="467">
      <c r="A467" s="58"/>
      <c r="B467" s="58"/>
      <c r="C467" s="58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</row>
    <row r="468">
      <c r="A468" s="58"/>
      <c r="B468" s="58"/>
      <c r="C468" s="58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</row>
    <row r="469">
      <c r="A469" s="58"/>
      <c r="B469" s="58"/>
      <c r="C469" s="58"/>
      <c r="D469" s="58"/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</row>
    <row r="470">
      <c r="A470" s="58"/>
      <c r="B470" s="58"/>
      <c r="C470" s="58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</row>
    <row r="471">
      <c r="A471" s="58"/>
      <c r="B471" s="58"/>
      <c r="C471" s="58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</row>
    <row r="472">
      <c r="A472" s="58"/>
      <c r="B472" s="58"/>
      <c r="C472" s="58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</row>
    <row r="473">
      <c r="A473" s="58"/>
      <c r="B473" s="58"/>
      <c r="C473" s="58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</row>
    <row r="474">
      <c r="A474" s="58"/>
      <c r="B474" s="58"/>
      <c r="C474" s="58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</row>
    <row r="475">
      <c r="A475" s="58"/>
      <c r="B475" s="58"/>
      <c r="C475" s="58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</row>
    <row r="476">
      <c r="A476" s="58"/>
      <c r="B476" s="58"/>
      <c r="C476" s="58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</row>
    <row r="477">
      <c r="A477" s="58"/>
      <c r="B477" s="58"/>
      <c r="C477" s="58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</row>
    <row r="478">
      <c r="A478" s="58"/>
      <c r="B478" s="58"/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</row>
    <row r="479">
      <c r="A479" s="58"/>
      <c r="B479" s="58"/>
      <c r="C479" s="58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</row>
    <row r="480">
      <c r="A480" s="58"/>
      <c r="B480" s="58"/>
      <c r="C480" s="58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</row>
    <row r="481">
      <c r="A481" s="58"/>
      <c r="B481" s="58"/>
      <c r="C481" s="58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</row>
    <row r="482">
      <c r="A482" s="58"/>
      <c r="B482" s="58"/>
      <c r="C482" s="58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</row>
    <row r="483">
      <c r="A483" s="58"/>
      <c r="B483" s="58"/>
      <c r="C483" s="58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</row>
    <row r="484">
      <c r="A484" s="58"/>
      <c r="B484" s="58"/>
      <c r="C484" s="58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</row>
    <row r="485">
      <c r="A485" s="58"/>
      <c r="B485" s="58"/>
      <c r="C485" s="58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</row>
    <row r="486">
      <c r="A486" s="58"/>
      <c r="B486" s="58"/>
      <c r="C486" s="58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</row>
    <row r="487">
      <c r="A487" s="58"/>
      <c r="B487" s="58"/>
      <c r="C487" s="58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</row>
    <row r="488">
      <c r="A488" s="58"/>
      <c r="B488" s="58"/>
      <c r="C488" s="58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</row>
    <row r="489">
      <c r="A489" s="58"/>
      <c r="B489" s="58"/>
      <c r="C489" s="58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</row>
    <row r="490">
      <c r="A490" s="58"/>
      <c r="B490" s="58"/>
      <c r="C490" s="58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</row>
    <row r="491">
      <c r="A491" s="58"/>
      <c r="B491" s="58"/>
      <c r="C491" s="58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</row>
    <row r="492">
      <c r="A492" s="58"/>
      <c r="B492" s="58"/>
      <c r="C492" s="58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</row>
    <row r="493">
      <c r="A493" s="58"/>
      <c r="B493" s="58"/>
      <c r="C493" s="58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</row>
    <row r="494">
      <c r="A494" s="58"/>
      <c r="B494" s="58"/>
      <c r="C494" s="58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</row>
    <row r="495">
      <c r="A495" s="58"/>
      <c r="B495" s="58"/>
      <c r="C495" s="58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</row>
    <row r="496">
      <c r="A496" s="58"/>
      <c r="B496" s="58"/>
      <c r="C496" s="58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</row>
    <row r="497">
      <c r="A497" s="58"/>
      <c r="B497" s="58"/>
      <c r="C497" s="58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</row>
    <row r="498">
      <c r="A498" s="58"/>
      <c r="B498" s="58"/>
      <c r="C498" s="58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</row>
    <row r="499">
      <c r="A499" s="58"/>
      <c r="B499" s="58"/>
      <c r="C499" s="58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</row>
    <row r="500">
      <c r="A500" s="58"/>
      <c r="B500" s="58"/>
      <c r="C500" s="58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</row>
    <row r="501">
      <c r="A501" s="58"/>
      <c r="B501" s="58"/>
      <c r="C501" s="58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</row>
    <row r="502">
      <c r="A502" s="58"/>
      <c r="B502" s="58"/>
      <c r="C502" s="58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</row>
    <row r="503">
      <c r="A503" s="58"/>
      <c r="B503" s="58"/>
      <c r="C503" s="58"/>
      <c r="D503" s="58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</row>
    <row r="504">
      <c r="A504" s="58"/>
      <c r="B504" s="58"/>
      <c r="C504" s="58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</row>
    <row r="505">
      <c r="A505" s="58"/>
      <c r="B505" s="58"/>
      <c r="C505" s="58"/>
      <c r="D505" s="58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</row>
    <row r="506">
      <c r="A506" s="58"/>
      <c r="B506" s="58"/>
      <c r="C506" s="58"/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</row>
    <row r="507">
      <c r="A507" s="58"/>
      <c r="B507" s="58"/>
      <c r="C507" s="58"/>
      <c r="D507" s="58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</row>
    <row r="508">
      <c r="A508" s="58"/>
      <c r="B508" s="58"/>
      <c r="C508" s="58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</row>
    <row r="509">
      <c r="A509" s="58"/>
      <c r="B509" s="58"/>
      <c r="C509" s="58"/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</row>
    <row r="510">
      <c r="A510" s="58"/>
      <c r="B510" s="58"/>
      <c r="C510" s="58"/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</row>
    <row r="511">
      <c r="A511" s="58"/>
      <c r="B511" s="58"/>
      <c r="C511" s="58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</row>
    <row r="512">
      <c r="A512" s="58"/>
      <c r="B512" s="58"/>
      <c r="C512" s="58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</row>
    <row r="513">
      <c r="A513" s="58"/>
      <c r="B513" s="58"/>
      <c r="C513" s="58"/>
      <c r="D513" s="58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</row>
    <row r="514">
      <c r="A514" s="58"/>
      <c r="B514" s="58"/>
      <c r="C514" s="58"/>
      <c r="D514" s="58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</row>
    <row r="515">
      <c r="A515" s="58"/>
      <c r="B515" s="58"/>
      <c r="C515" s="58"/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</row>
    <row r="516">
      <c r="A516" s="58"/>
      <c r="B516" s="58"/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</row>
    <row r="517">
      <c r="A517" s="58"/>
      <c r="B517" s="58"/>
      <c r="C517" s="58"/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</row>
    <row r="518">
      <c r="A518" s="58"/>
      <c r="B518" s="58"/>
      <c r="C518" s="58"/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</row>
    <row r="519">
      <c r="A519" s="58"/>
      <c r="B519" s="58"/>
      <c r="C519" s="58"/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</row>
    <row r="520">
      <c r="A520" s="58"/>
      <c r="B520" s="58"/>
      <c r="C520" s="58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</row>
    <row r="521">
      <c r="A521" s="58"/>
      <c r="B521" s="58"/>
      <c r="C521" s="58"/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</row>
    <row r="522">
      <c r="A522" s="58"/>
      <c r="B522" s="58"/>
      <c r="C522" s="58"/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</row>
    <row r="523">
      <c r="A523" s="58"/>
      <c r="B523" s="58"/>
      <c r="C523" s="58"/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</row>
    <row r="524">
      <c r="A524" s="58"/>
      <c r="B524" s="58"/>
      <c r="C524" s="58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</row>
    <row r="525">
      <c r="A525" s="58"/>
      <c r="B525" s="58"/>
      <c r="C525" s="58"/>
      <c r="D525" s="58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</row>
    <row r="526">
      <c r="A526" s="58"/>
      <c r="B526" s="58"/>
      <c r="C526" s="58"/>
      <c r="D526" s="58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</row>
    <row r="527">
      <c r="A527" s="58"/>
      <c r="B527" s="58"/>
      <c r="C527" s="58"/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</row>
    <row r="528">
      <c r="A528" s="58"/>
      <c r="B528" s="58"/>
      <c r="C528" s="58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</row>
    <row r="529">
      <c r="A529" s="58"/>
      <c r="B529" s="58"/>
      <c r="C529" s="58"/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</row>
    <row r="530">
      <c r="A530" s="58"/>
      <c r="B530" s="58"/>
      <c r="C530" s="58"/>
      <c r="D530" s="58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</row>
    <row r="531">
      <c r="A531" s="58"/>
      <c r="B531" s="58"/>
      <c r="C531" s="58"/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</row>
    <row r="532">
      <c r="A532" s="58"/>
      <c r="B532" s="58"/>
      <c r="C532" s="58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</row>
    <row r="533">
      <c r="A533" s="58"/>
      <c r="B533" s="58"/>
      <c r="C533" s="58"/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</row>
    <row r="534">
      <c r="A534" s="58"/>
      <c r="B534" s="58"/>
      <c r="C534" s="58"/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</row>
    <row r="535">
      <c r="A535" s="58"/>
      <c r="B535" s="58"/>
      <c r="C535" s="58"/>
      <c r="D535" s="58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</row>
    <row r="536">
      <c r="A536" s="58"/>
      <c r="B536" s="58"/>
      <c r="C536" s="58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</row>
    <row r="537">
      <c r="A537" s="58"/>
      <c r="B537" s="58"/>
      <c r="C537" s="58"/>
      <c r="D537" s="58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</row>
    <row r="538">
      <c r="A538" s="58"/>
      <c r="B538" s="58"/>
      <c r="C538" s="58"/>
      <c r="D538" s="58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</row>
    <row r="539">
      <c r="A539" s="58"/>
      <c r="B539" s="58"/>
      <c r="C539" s="58"/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</row>
    <row r="540">
      <c r="A540" s="58"/>
      <c r="B540" s="58"/>
      <c r="C540" s="58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</row>
    <row r="541">
      <c r="A541" s="58"/>
      <c r="B541" s="58"/>
      <c r="C541" s="58"/>
      <c r="D541" s="58"/>
      <c r="E541" s="58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</row>
    <row r="542">
      <c r="A542" s="58"/>
      <c r="B542" s="58"/>
      <c r="C542" s="58"/>
      <c r="D542" s="58"/>
      <c r="E542" s="58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</row>
    <row r="543">
      <c r="A543" s="58"/>
      <c r="B543" s="58"/>
      <c r="C543" s="58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</row>
    <row r="544">
      <c r="A544" s="58"/>
      <c r="B544" s="58"/>
      <c r="C544" s="58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</row>
    <row r="545">
      <c r="A545" s="58"/>
      <c r="B545" s="58"/>
      <c r="C545" s="58"/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</row>
    <row r="546">
      <c r="A546" s="58"/>
      <c r="B546" s="58"/>
      <c r="C546" s="58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</row>
    <row r="547">
      <c r="A547" s="58"/>
      <c r="B547" s="58"/>
      <c r="C547" s="58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</row>
    <row r="548">
      <c r="A548" s="58"/>
      <c r="B548" s="58"/>
      <c r="C548" s="58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</row>
    <row r="549">
      <c r="A549" s="58"/>
      <c r="B549" s="58"/>
      <c r="C549" s="58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</row>
    <row r="550">
      <c r="A550" s="58"/>
      <c r="B550" s="58"/>
      <c r="C550" s="58"/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</row>
    <row r="551">
      <c r="A551" s="58"/>
      <c r="B551" s="58"/>
      <c r="C551" s="58"/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</row>
    <row r="552">
      <c r="A552" s="58"/>
      <c r="B552" s="58"/>
      <c r="C552" s="58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</row>
    <row r="553">
      <c r="A553" s="58"/>
      <c r="B553" s="58"/>
      <c r="C553" s="58"/>
      <c r="D553" s="58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</row>
    <row r="554">
      <c r="A554" s="58"/>
      <c r="B554" s="58"/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</row>
    <row r="555">
      <c r="A555" s="58"/>
      <c r="B555" s="58"/>
      <c r="C555" s="58"/>
      <c r="D555" s="58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</row>
    <row r="556">
      <c r="A556" s="58"/>
      <c r="B556" s="58"/>
      <c r="C556" s="58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</row>
    <row r="557">
      <c r="A557" s="58"/>
      <c r="B557" s="58"/>
      <c r="C557" s="58"/>
      <c r="D557" s="58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</row>
    <row r="558">
      <c r="A558" s="58"/>
      <c r="B558" s="58"/>
      <c r="C558" s="58"/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</row>
    <row r="559">
      <c r="A559" s="58"/>
      <c r="B559" s="58"/>
      <c r="C559" s="58"/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</row>
    <row r="560">
      <c r="A560" s="58"/>
      <c r="B560" s="58"/>
      <c r="C560" s="58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</row>
    <row r="561">
      <c r="A561" s="58"/>
      <c r="B561" s="58"/>
      <c r="C561" s="58"/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</row>
    <row r="562">
      <c r="A562" s="58"/>
      <c r="B562" s="58"/>
      <c r="C562" s="58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</row>
    <row r="563">
      <c r="A563" s="58"/>
      <c r="B563" s="58"/>
      <c r="C563" s="58"/>
      <c r="D563" s="58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</row>
    <row r="564">
      <c r="A564" s="58"/>
      <c r="B564" s="58"/>
      <c r="C564" s="58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</row>
    <row r="565">
      <c r="A565" s="58"/>
      <c r="B565" s="58"/>
      <c r="C565" s="58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</row>
    <row r="566">
      <c r="A566" s="58"/>
      <c r="B566" s="58"/>
      <c r="C566" s="58"/>
      <c r="D566" s="58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</row>
    <row r="567">
      <c r="A567" s="58"/>
      <c r="B567" s="58"/>
      <c r="C567" s="58"/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</row>
    <row r="568">
      <c r="A568" s="58"/>
      <c r="B568" s="58"/>
      <c r="C568" s="58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</row>
    <row r="569">
      <c r="A569" s="58"/>
      <c r="B569" s="58"/>
      <c r="C569" s="58"/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</row>
    <row r="570">
      <c r="A570" s="58"/>
      <c r="B570" s="58"/>
      <c r="C570" s="58"/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</row>
    <row r="571">
      <c r="A571" s="58"/>
      <c r="B571" s="58"/>
      <c r="C571" s="58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</row>
    <row r="572">
      <c r="A572" s="58"/>
      <c r="B572" s="58"/>
      <c r="C572" s="58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</row>
    <row r="573">
      <c r="A573" s="58"/>
      <c r="B573" s="58"/>
      <c r="C573" s="58"/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</row>
    <row r="574">
      <c r="A574" s="58"/>
      <c r="B574" s="58"/>
      <c r="C574" s="58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</row>
    <row r="575">
      <c r="A575" s="58"/>
      <c r="B575" s="58"/>
      <c r="C575" s="58"/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</row>
    <row r="576">
      <c r="A576" s="58"/>
      <c r="B576" s="58"/>
      <c r="C576" s="58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</row>
    <row r="577">
      <c r="A577" s="58"/>
      <c r="B577" s="58"/>
      <c r="C577" s="58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</row>
    <row r="578">
      <c r="A578" s="58"/>
      <c r="B578" s="58"/>
      <c r="C578" s="58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</row>
    <row r="579">
      <c r="A579" s="58"/>
      <c r="B579" s="58"/>
      <c r="C579" s="58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</row>
    <row r="580">
      <c r="A580" s="58"/>
      <c r="B580" s="58"/>
      <c r="C580" s="58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</row>
    <row r="581">
      <c r="A581" s="58"/>
      <c r="B581" s="58"/>
      <c r="C581" s="58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</row>
    <row r="582">
      <c r="A582" s="58"/>
      <c r="B582" s="58"/>
      <c r="C582" s="58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</row>
    <row r="583">
      <c r="A583" s="58"/>
      <c r="B583" s="58"/>
      <c r="C583" s="58"/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</row>
    <row r="584">
      <c r="A584" s="58"/>
      <c r="B584" s="58"/>
      <c r="C584" s="58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</row>
    <row r="585">
      <c r="A585" s="58"/>
      <c r="B585" s="58"/>
      <c r="C585" s="58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</row>
    <row r="586">
      <c r="A586" s="58"/>
      <c r="B586" s="58"/>
      <c r="C586" s="58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</row>
    <row r="587">
      <c r="A587" s="58"/>
      <c r="B587" s="58"/>
      <c r="C587" s="58"/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</row>
    <row r="588">
      <c r="A588" s="58"/>
      <c r="B588" s="58"/>
      <c r="C588" s="58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</row>
    <row r="589">
      <c r="A589" s="58"/>
      <c r="B589" s="58"/>
      <c r="C589" s="58"/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</row>
    <row r="590">
      <c r="A590" s="58"/>
      <c r="B590" s="58"/>
      <c r="C590" s="58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</row>
    <row r="591">
      <c r="A591" s="58"/>
      <c r="B591" s="58"/>
      <c r="C591" s="58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</row>
    <row r="592">
      <c r="A592" s="58"/>
      <c r="B592" s="58"/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</row>
    <row r="593">
      <c r="A593" s="58"/>
      <c r="B593" s="58"/>
      <c r="C593" s="58"/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</row>
    <row r="594">
      <c r="A594" s="58"/>
      <c r="B594" s="58"/>
      <c r="C594" s="58"/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</row>
    <row r="595">
      <c r="A595" s="58"/>
      <c r="B595" s="58"/>
      <c r="C595" s="58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</row>
    <row r="596">
      <c r="A596" s="58"/>
      <c r="B596" s="58"/>
      <c r="C596" s="58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</row>
    <row r="597">
      <c r="A597" s="58"/>
      <c r="B597" s="58"/>
      <c r="C597" s="58"/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</row>
    <row r="598">
      <c r="A598" s="58"/>
      <c r="B598" s="58"/>
      <c r="C598" s="58"/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</row>
    <row r="599">
      <c r="A599" s="58"/>
      <c r="B599" s="58"/>
      <c r="C599" s="58"/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</row>
    <row r="600">
      <c r="A600" s="58"/>
      <c r="B600" s="58"/>
      <c r="C600" s="58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</row>
    <row r="601">
      <c r="A601" s="58"/>
      <c r="B601" s="58"/>
      <c r="C601" s="58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</row>
    <row r="602">
      <c r="A602" s="58"/>
      <c r="B602" s="58"/>
      <c r="C602" s="58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</row>
    <row r="603">
      <c r="A603" s="58"/>
      <c r="B603" s="58"/>
      <c r="C603" s="58"/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</row>
    <row r="604">
      <c r="A604" s="58"/>
      <c r="B604" s="58"/>
      <c r="C604" s="58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</row>
    <row r="605">
      <c r="A605" s="58"/>
      <c r="B605" s="58"/>
      <c r="C605" s="58"/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</row>
    <row r="606">
      <c r="A606" s="58"/>
      <c r="B606" s="58"/>
      <c r="C606" s="58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</row>
    <row r="607">
      <c r="A607" s="58"/>
      <c r="B607" s="58"/>
      <c r="C607" s="58"/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</row>
    <row r="608">
      <c r="A608" s="58"/>
      <c r="B608" s="58"/>
      <c r="C608" s="58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</row>
    <row r="609">
      <c r="A609" s="58"/>
      <c r="B609" s="58"/>
      <c r="C609" s="58"/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</row>
    <row r="610">
      <c r="A610" s="58"/>
      <c r="B610" s="58"/>
      <c r="C610" s="58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</row>
    <row r="611">
      <c r="A611" s="58"/>
      <c r="B611" s="58"/>
      <c r="C611" s="58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</row>
    <row r="612">
      <c r="A612" s="58"/>
      <c r="B612" s="58"/>
      <c r="C612" s="58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</row>
    <row r="613">
      <c r="A613" s="58"/>
      <c r="B613" s="58"/>
      <c r="C613" s="58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</row>
    <row r="614">
      <c r="A614" s="58"/>
      <c r="B614" s="58"/>
      <c r="C614" s="58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</row>
    <row r="615">
      <c r="A615" s="58"/>
      <c r="B615" s="58"/>
      <c r="C615" s="58"/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</row>
    <row r="616">
      <c r="A616" s="58"/>
      <c r="B616" s="58"/>
      <c r="C616" s="58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</row>
    <row r="617">
      <c r="A617" s="58"/>
      <c r="B617" s="58"/>
      <c r="C617" s="58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</row>
    <row r="618">
      <c r="A618" s="58"/>
      <c r="B618" s="58"/>
      <c r="C618" s="58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</row>
    <row r="619">
      <c r="A619" s="58"/>
      <c r="B619" s="58"/>
      <c r="C619" s="58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</row>
    <row r="620">
      <c r="A620" s="58"/>
      <c r="B620" s="58"/>
      <c r="C620" s="58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</row>
    <row r="621">
      <c r="A621" s="58"/>
      <c r="B621" s="58"/>
      <c r="C621" s="58"/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</row>
    <row r="622">
      <c r="A622" s="58"/>
      <c r="B622" s="58"/>
      <c r="C622" s="58"/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</row>
    <row r="623">
      <c r="A623" s="58"/>
      <c r="B623" s="58"/>
      <c r="C623" s="58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</row>
    <row r="624">
      <c r="A624" s="58"/>
      <c r="B624" s="58"/>
      <c r="C624" s="58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</row>
    <row r="625">
      <c r="A625" s="58"/>
      <c r="B625" s="58"/>
      <c r="C625" s="58"/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</row>
    <row r="626">
      <c r="A626" s="58"/>
      <c r="B626" s="58"/>
      <c r="C626" s="58"/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</row>
    <row r="627">
      <c r="A627" s="58"/>
      <c r="B627" s="58"/>
      <c r="C627" s="58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</row>
    <row r="628">
      <c r="A628" s="58"/>
      <c r="B628" s="58"/>
      <c r="C628" s="58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</row>
    <row r="629">
      <c r="A629" s="58"/>
      <c r="B629" s="58"/>
      <c r="C629" s="58"/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</row>
    <row r="630">
      <c r="A630" s="58"/>
      <c r="B630" s="58"/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</row>
    <row r="631">
      <c r="A631" s="58"/>
      <c r="B631" s="58"/>
      <c r="C631" s="58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</row>
    <row r="632">
      <c r="A632" s="58"/>
      <c r="B632" s="58"/>
      <c r="C632" s="58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</row>
    <row r="633">
      <c r="A633" s="58"/>
      <c r="B633" s="58"/>
      <c r="C633" s="58"/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</row>
    <row r="634">
      <c r="A634" s="58"/>
      <c r="B634" s="58"/>
      <c r="C634" s="58"/>
      <c r="D634" s="58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</row>
    <row r="635">
      <c r="A635" s="58"/>
      <c r="B635" s="58"/>
      <c r="C635" s="58"/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</row>
    <row r="636">
      <c r="A636" s="58"/>
      <c r="B636" s="58"/>
      <c r="C636" s="58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</row>
    <row r="637">
      <c r="A637" s="58"/>
      <c r="B637" s="58"/>
      <c r="C637" s="58"/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</row>
    <row r="638">
      <c r="A638" s="58"/>
      <c r="B638" s="58"/>
      <c r="C638" s="58"/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</row>
    <row r="639">
      <c r="A639" s="58"/>
      <c r="B639" s="58"/>
      <c r="C639" s="58"/>
      <c r="D639" s="58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</row>
    <row r="640">
      <c r="A640" s="58"/>
      <c r="B640" s="58"/>
      <c r="C640" s="58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</row>
    <row r="641">
      <c r="A641" s="58"/>
      <c r="B641" s="58"/>
      <c r="C641" s="58"/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</row>
    <row r="642">
      <c r="A642" s="58"/>
      <c r="B642" s="58"/>
      <c r="C642" s="58"/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</row>
    <row r="643">
      <c r="A643" s="58"/>
      <c r="B643" s="58"/>
      <c r="C643" s="58"/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</row>
    <row r="644">
      <c r="A644" s="58"/>
      <c r="B644" s="58"/>
      <c r="C644" s="58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</row>
    <row r="645">
      <c r="A645" s="58"/>
      <c r="B645" s="58"/>
      <c r="C645" s="58"/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</row>
    <row r="646">
      <c r="A646" s="58"/>
      <c r="B646" s="58"/>
      <c r="C646" s="58"/>
      <c r="D646" s="58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</row>
    <row r="647">
      <c r="A647" s="58"/>
      <c r="B647" s="58"/>
      <c r="C647" s="58"/>
      <c r="D647" s="58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</row>
    <row r="648">
      <c r="A648" s="58"/>
      <c r="B648" s="58"/>
      <c r="C648" s="58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</row>
    <row r="649">
      <c r="A649" s="58"/>
      <c r="B649" s="58"/>
      <c r="C649" s="58"/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</row>
    <row r="650">
      <c r="A650" s="58"/>
      <c r="B650" s="58"/>
      <c r="C650" s="58"/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</row>
    <row r="651">
      <c r="A651" s="58"/>
      <c r="B651" s="58"/>
      <c r="C651" s="58"/>
      <c r="D651" s="58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</row>
    <row r="652">
      <c r="A652" s="58"/>
      <c r="B652" s="58"/>
      <c r="C652" s="58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</row>
    <row r="653">
      <c r="A653" s="58"/>
      <c r="B653" s="58"/>
      <c r="C653" s="58"/>
      <c r="D653" s="58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</row>
    <row r="654">
      <c r="A654" s="58"/>
      <c r="B654" s="58"/>
      <c r="C654" s="58"/>
      <c r="D654" s="58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</row>
    <row r="655">
      <c r="A655" s="58"/>
      <c r="B655" s="58"/>
      <c r="C655" s="58"/>
      <c r="D655" s="58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</row>
    <row r="656">
      <c r="A656" s="58"/>
      <c r="B656" s="58"/>
      <c r="C656" s="58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</row>
    <row r="657">
      <c r="A657" s="58"/>
      <c r="B657" s="58"/>
      <c r="C657" s="58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</row>
    <row r="658">
      <c r="A658" s="58"/>
      <c r="B658" s="58"/>
      <c r="C658" s="58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</row>
    <row r="659">
      <c r="A659" s="58"/>
      <c r="B659" s="58"/>
      <c r="C659" s="58"/>
      <c r="D659" s="58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</row>
    <row r="660">
      <c r="A660" s="58"/>
      <c r="B660" s="58"/>
      <c r="C660" s="58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</row>
    <row r="661">
      <c r="A661" s="58"/>
      <c r="B661" s="58"/>
      <c r="C661" s="58"/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</row>
    <row r="662">
      <c r="A662" s="58"/>
      <c r="B662" s="58"/>
      <c r="C662" s="58"/>
      <c r="D662" s="58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</row>
    <row r="663">
      <c r="A663" s="58"/>
      <c r="B663" s="58"/>
      <c r="C663" s="58"/>
      <c r="D663" s="58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</row>
    <row r="664">
      <c r="A664" s="58"/>
      <c r="B664" s="58"/>
      <c r="C664" s="58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</row>
    <row r="665">
      <c r="A665" s="58"/>
      <c r="B665" s="58"/>
      <c r="C665" s="58"/>
      <c r="D665" s="58"/>
      <c r="E665" s="58"/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</row>
    <row r="666">
      <c r="A666" s="58"/>
      <c r="B666" s="58"/>
      <c r="C666" s="58"/>
      <c r="D666" s="58"/>
      <c r="E666" s="58"/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</row>
    <row r="667">
      <c r="A667" s="58"/>
      <c r="B667" s="58"/>
      <c r="C667" s="58"/>
      <c r="D667" s="58"/>
      <c r="E667" s="58"/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</row>
    <row r="668">
      <c r="A668" s="58"/>
      <c r="B668" s="58"/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</row>
    <row r="669">
      <c r="A669" s="58"/>
      <c r="B669" s="58"/>
      <c r="C669" s="58"/>
      <c r="D669" s="58"/>
      <c r="E669" s="58"/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</row>
    <row r="670">
      <c r="A670" s="58"/>
      <c r="B670" s="58"/>
      <c r="C670" s="58"/>
      <c r="D670" s="58"/>
      <c r="E670" s="58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</row>
    <row r="671">
      <c r="A671" s="58"/>
      <c r="B671" s="58"/>
      <c r="C671" s="58"/>
      <c r="D671" s="58"/>
      <c r="E671" s="58"/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</row>
    <row r="672">
      <c r="A672" s="58"/>
      <c r="B672" s="58"/>
      <c r="C672" s="58"/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</row>
    <row r="673">
      <c r="A673" s="58"/>
      <c r="B673" s="58"/>
      <c r="C673" s="58"/>
      <c r="D673" s="58"/>
      <c r="E673" s="58"/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</row>
    <row r="674">
      <c r="A674" s="58"/>
      <c r="B674" s="58"/>
      <c r="C674" s="58"/>
      <c r="D674" s="58"/>
      <c r="E674" s="58"/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</row>
    <row r="675">
      <c r="A675" s="58"/>
      <c r="B675" s="58"/>
      <c r="C675" s="58"/>
      <c r="D675" s="58"/>
      <c r="E675" s="58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</row>
    <row r="676">
      <c r="A676" s="58"/>
      <c r="B676" s="58"/>
      <c r="C676" s="58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</row>
    <row r="677">
      <c r="A677" s="58"/>
      <c r="B677" s="58"/>
      <c r="C677" s="58"/>
      <c r="D677" s="58"/>
      <c r="E677" s="58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</row>
    <row r="678">
      <c r="A678" s="58"/>
      <c r="B678" s="58"/>
      <c r="C678" s="58"/>
      <c r="D678" s="58"/>
      <c r="E678" s="58"/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</row>
    <row r="679">
      <c r="A679" s="58"/>
      <c r="B679" s="58"/>
      <c r="C679" s="58"/>
      <c r="D679" s="58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</row>
    <row r="680">
      <c r="A680" s="58"/>
      <c r="B680" s="58"/>
      <c r="C680" s="58"/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</row>
    <row r="681">
      <c r="A681" s="58"/>
      <c r="B681" s="58"/>
      <c r="C681" s="58"/>
      <c r="D681" s="58"/>
      <c r="E681" s="58"/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</row>
    <row r="682">
      <c r="A682" s="58"/>
      <c r="B682" s="58"/>
      <c r="C682" s="58"/>
      <c r="D682" s="58"/>
      <c r="E682" s="58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</row>
    <row r="683">
      <c r="A683" s="58"/>
      <c r="B683" s="58"/>
      <c r="C683" s="58"/>
      <c r="D683" s="58"/>
      <c r="E683" s="58"/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</row>
    <row r="684">
      <c r="A684" s="58"/>
      <c r="B684" s="58"/>
      <c r="C684" s="58"/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</row>
    <row r="685">
      <c r="A685" s="58"/>
      <c r="B685" s="58"/>
      <c r="C685" s="58"/>
      <c r="D685" s="58"/>
      <c r="E685" s="58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</row>
    <row r="686">
      <c r="A686" s="58"/>
      <c r="B686" s="58"/>
      <c r="C686" s="58"/>
      <c r="D686" s="58"/>
      <c r="E686" s="58"/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</row>
    <row r="687">
      <c r="A687" s="58"/>
      <c r="B687" s="58"/>
      <c r="C687" s="58"/>
      <c r="D687" s="58"/>
      <c r="E687" s="58"/>
      <c r="F687" s="58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</row>
    <row r="688">
      <c r="A688" s="58"/>
      <c r="B688" s="58"/>
      <c r="C688" s="58"/>
      <c r="D688" s="58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</row>
    <row r="689">
      <c r="A689" s="58"/>
      <c r="B689" s="58"/>
      <c r="C689" s="58"/>
      <c r="D689" s="58"/>
      <c r="E689" s="58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</row>
    <row r="690">
      <c r="A690" s="58"/>
      <c r="B690" s="58"/>
      <c r="C690" s="58"/>
      <c r="D690" s="58"/>
      <c r="E690" s="58"/>
      <c r="F690" s="58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</row>
    <row r="691">
      <c r="A691" s="58"/>
      <c r="B691" s="58"/>
      <c r="C691" s="58"/>
      <c r="D691" s="58"/>
      <c r="E691" s="58"/>
      <c r="F691" s="58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</row>
    <row r="692">
      <c r="A692" s="58"/>
      <c r="B692" s="58"/>
      <c r="C692" s="58"/>
      <c r="D692" s="58"/>
      <c r="E692" s="58"/>
      <c r="F692" s="58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</row>
    <row r="693">
      <c r="A693" s="58"/>
      <c r="B693" s="58"/>
      <c r="C693" s="58"/>
      <c r="D693" s="58"/>
      <c r="E693" s="58"/>
      <c r="F693" s="58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</row>
    <row r="694">
      <c r="A694" s="58"/>
      <c r="B694" s="58"/>
      <c r="C694" s="58"/>
      <c r="D694" s="58"/>
      <c r="E694" s="58"/>
      <c r="F694" s="58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</row>
    <row r="695">
      <c r="A695" s="58"/>
      <c r="B695" s="58"/>
      <c r="C695" s="58"/>
      <c r="D695" s="58"/>
      <c r="E695" s="58"/>
      <c r="F695" s="58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</row>
    <row r="696">
      <c r="A696" s="58"/>
      <c r="B696" s="58"/>
      <c r="C696" s="58"/>
      <c r="D696" s="58"/>
      <c r="E696" s="58"/>
      <c r="F696" s="58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</row>
    <row r="697">
      <c r="A697" s="58"/>
      <c r="B697" s="58"/>
      <c r="C697" s="58"/>
      <c r="D697" s="58"/>
      <c r="E697" s="58"/>
      <c r="F697" s="58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</row>
    <row r="698">
      <c r="A698" s="58"/>
      <c r="B698" s="58"/>
      <c r="C698" s="58"/>
      <c r="D698" s="58"/>
      <c r="E698" s="58"/>
      <c r="F698" s="58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</row>
    <row r="699">
      <c r="A699" s="58"/>
      <c r="B699" s="58"/>
      <c r="C699" s="58"/>
      <c r="D699" s="58"/>
      <c r="E699" s="58"/>
      <c r="F699" s="58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</row>
    <row r="700">
      <c r="A700" s="58"/>
      <c r="B700" s="58"/>
      <c r="C700" s="58"/>
      <c r="D700" s="58"/>
      <c r="E700" s="58"/>
      <c r="F700" s="58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</row>
    <row r="701">
      <c r="A701" s="58"/>
      <c r="B701" s="58"/>
      <c r="C701" s="58"/>
      <c r="D701" s="58"/>
      <c r="E701" s="58"/>
      <c r="F701" s="58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</row>
    <row r="702">
      <c r="A702" s="58"/>
      <c r="B702" s="58"/>
      <c r="C702" s="58"/>
      <c r="D702" s="58"/>
      <c r="E702" s="58"/>
      <c r="F702" s="58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</row>
    <row r="703">
      <c r="A703" s="58"/>
      <c r="B703" s="58"/>
      <c r="C703" s="58"/>
      <c r="D703" s="58"/>
      <c r="E703" s="58"/>
      <c r="F703" s="58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</row>
    <row r="704">
      <c r="A704" s="58"/>
      <c r="B704" s="58"/>
      <c r="C704" s="58"/>
      <c r="D704" s="58"/>
      <c r="E704" s="58"/>
      <c r="F704" s="58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</row>
    <row r="705">
      <c r="A705" s="58"/>
      <c r="B705" s="58"/>
      <c r="C705" s="58"/>
      <c r="D705" s="58"/>
      <c r="E705" s="58"/>
      <c r="F705" s="58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</row>
    <row r="706">
      <c r="A706" s="58"/>
      <c r="B706" s="58"/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</row>
    <row r="707">
      <c r="A707" s="58"/>
      <c r="B707" s="58"/>
      <c r="C707" s="58"/>
      <c r="D707" s="58"/>
      <c r="E707" s="58"/>
      <c r="F707" s="58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</row>
    <row r="708">
      <c r="A708" s="58"/>
      <c r="B708" s="58"/>
      <c r="C708" s="58"/>
      <c r="D708" s="58"/>
      <c r="E708" s="58"/>
      <c r="F708" s="58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</row>
    <row r="709">
      <c r="A709" s="58"/>
      <c r="B709" s="58"/>
      <c r="C709" s="58"/>
      <c r="D709" s="58"/>
      <c r="E709" s="58"/>
      <c r="F709" s="58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</row>
    <row r="710">
      <c r="A710" s="58"/>
      <c r="B710" s="58"/>
      <c r="C710" s="58"/>
      <c r="D710" s="58"/>
      <c r="E710" s="58"/>
      <c r="F710" s="58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</row>
    <row r="711">
      <c r="A711" s="58"/>
      <c r="B711" s="58"/>
      <c r="C711" s="58"/>
      <c r="D711" s="58"/>
      <c r="E711" s="58"/>
      <c r="F711" s="58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</row>
    <row r="712">
      <c r="A712" s="58"/>
      <c r="B712" s="58"/>
      <c r="C712" s="58"/>
      <c r="D712" s="58"/>
      <c r="E712" s="58"/>
      <c r="F712" s="58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</row>
    <row r="713">
      <c r="A713" s="58"/>
      <c r="B713" s="58"/>
      <c r="C713" s="58"/>
      <c r="D713" s="58"/>
      <c r="E713" s="58"/>
      <c r="F713" s="58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</row>
    <row r="714">
      <c r="A714" s="58"/>
      <c r="B714" s="58"/>
      <c r="C714" s="58"/>
      <c r="D714" s="58"/>
      <c r="E714" s="58"/>
      <c r="F714" s="58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</row>
    <row r="715">
      <c r="A715" s="58"/>
      <c r="B715" s="58"/>
      <c r="C715" s="58"/>
      <c r="D715" s="58"/>
      <c r="E715" s="58"/>
      <c r="F715" s="58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</row>
    <row r="716">
      <c r="A716" s="58"/>
      <c r="B716" s="58"/>
      <c r="C716" s="58"/>
      <c r="D716" s="58"/>
      <c r="E716" s="58"/>
      <c r="F716" s="58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</row>
    <row r="717">
      <c r="A717" s="58"/>
      <c r="B717" s="58"/>
      <c r="C717" s="58"/>
      <c r="D717" s="58"/>
      <c r="E717" s="58"/>
      <c r="F717" s="58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</row>
    <row r="718">
      <c r="A718" s="58"/>
      <c r="B718" s="58"/>
      <c r="C718" s="58"/>
      <c r="D718" s="58"/>
      <c r="E718" s="58"/>
      <c r="F718" s="58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</row>
    <row r="719">
      <c r="A719" s="58"/>
      <c r="B719" s="58"/>
      <c r="C719" s="58"/>
      <c r="D719" s="58"/>
      <c r="E719" s="58"/>
      <c r="F719" s="58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</row>
    <row r="720">
      <c r="A720" s="58"/>
      <c r="B720" s="58"/>
      <c r="C720" s="58"/>
      <c r="D720" s="58"/>
      <c r="E720" s="58"/>
      <c r="F720" s="58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</row>
    <row r="721">
      <c r="A721" s="58"/>
      <c r="B721" s="58"/>
      <c r="C721" s="58"/>
      <c r="D721" s="58"/>
      <c r="E721" s="58"/>
      <c r="F721" s="58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</row>
    <row r="722">
      <c r="A722" s="58"/>
      <c r="B722" s="58"/>
      <c r="C722" s="58"/>
      <c r="D722" s="58"/>
      <c r="E722" s="58"/>
      <c r="F722" s="58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</row>
    <row r="723">
      <c r="A723" s="58"/>
      <c r="B723" s="58"/>
      <c r="C723" s="58"/>
      <c r="D723" s="58"/>
      <c r="E723" s="58"/>
      <c r="F723" s="58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</row>
    <row r="724">
      <c r="A724" s="58"/>
      <c r="B724" s="58"/>
      <c r="C724" s="58"/>
      <c r="D724" s="58"/>
      <c r="E724" s="58"/>
      <c r="F724" s="58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</row>
    <row r="725">
      <c r="A725" s="58"/>
      <c r="B725" s="58"/>
      <c r="C725" s="58"/>
      <c r="D725" s="58"/>
      <c r="E725" s="58"/>
      <c r="F725" s="58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</row>
    <row r="726">
      <c r="A726" s="58"/>
      <c r="B726" s="58"/>
      <c r="C726" s="58"/>
      <c r="D726" s="58"/>
      <c r="E726" s="58"/>
      <c r="F726" s="58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</row>
    <row r="727">
      <c r="A727" s="58"/>
      <c r="B727" s="58"/>
      <c r="C727" s="58"/>
      <c r="D727" s="58"/>
      <c r="E727" s="58"/>
      <c r="F727" s="58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</row>
    <row r="728">
      <c r="A728" s="58"/>
      <c r="B728" s="58"/>
      <c r="C728" s="58"/>
      <c r="D728" s="58"/>
      <c r="E728" s="58"/>
      <c r="F728" s="58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</row>
    <row r="729">
      <c r="A729" s="58"/>
      <c r="B729" s="58"/>
      <c r="C729" s="58"/>
      <c r="D729" s="58"/>
      <c r="E729" s="58"/>
      <c r="F729" s="58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</row>
    <row r="730">
      <c r="A730" s="58"/>
      <c r="B730" s="58"/>
      <c r="C730" s="58"/>
      <c r="D730" s="58"/>
      <c r="E730" s="58"/>
      <c r="F730" s="58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</row>
    <row r="731">
      <c r="A731" s="58"/>
      <c r="B731" s="58"/>
      <c r="C731" s="58"/>
      <c r="D731" s="58"/>
      <c r="E731" s="58"/>
      <c r="F731" s="58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</row>
    <row r="732">
      <c r="A732" s="58"/>
      <c r="B732" s="58"/>
      <c r="C732" s="58"/>
      <c r="D732" s="58"/>
      <c r="E732" s="58"/>
      <c r="F732" s="58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</row>
    <row r="733">
      <c r="A733" s="58"/>
      <c r="B733" s="58"/>
      <c r="C733" s="58"/>
      <c r="D733" s="58"/>
      <c r="E733" s="58"/>
      <c r="F733" s="58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</row>
    <row r="734">
      <c r="A734" s="58"/>
      <c r="B734" s="58"/>
      <c r="C734" s="58"/>
      <c r="D734" s="58"/>
      <c r="E734" s="58"/>
      <c r="F734" s="58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</row>
    <row r="735">
      <c r="A735" s="58"/>
      <c r="B735" s="58"/>
      <c r="C735" s="58"/>
      <c r="D735" s="58"/>
      <c r="E735" s="58"/>
      <c r="F735" s="58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</row>
    <row r="736">
      <c r="A736" s="58"/>
      <c r="B736" s="58"/>
      <c r="C736" s="58"/>
      <c r="D736" s="58"/>
      <c r="E736" s="58"/>
      <c r="F736" s="58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</row>
    <row r="737">
      <c r="A737" s="58"/>
      <c r="B737" s="58"/>
      <c r="C737" s="58"/>
      <c r="D737" s="58"/>
      <c r="E737" s="58"/>
      <c r="F737" s="58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</row>
    <row r="738">
      <c r="A738" s="58"/>
      <c r="B738" s="58"/>
      <c r="C738" s="58"/>
      <c r="D738" s="58"/>
      <c r="E738" s="58"/>
      <c r="F738" s="58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</row>
    <row r="739">
      <c r="A739" s="58"/>
      <c r="B739" s="58"/>
      <c r="C739" s="58"/>
      <c r="D739" s="58"/>
      <c r="E739" s="58"/>
      <c r="F739" s="58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</row>
    <row r="740">
      <c r="A740" s="58"/>
      <c r="B740" s="58"/>
      <c r="C740" s="58"/>
      <c r="D740" s="58"/>
      <c r="E740" s="58"/>
      <c r="F740" s="58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</row>
    <row r="741">
      <c r="A741" s="58"/>
      <c r="B741" s="58"/>
      <c r="C741" s="58"/>
      <c r="D741" s="58"/>
      <c r="E741" s="58"/>
      <c r="F741" s="58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</row>
    <row r="742">
      <c r="A742" s="58"/>
      <c r="B742" s="58"/>
      <c r="C742" s="58"/>
      <c r="D742" s="58"/>
      <c r="E742" s="58"/>
      <c r="F742" s="58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</row>
    <row r="743">
      <c r="A743" s="58"/>
      <c r="B743" s="58"/>
      <c r="C743" s="58"/>
      <c r="D743" s="58"/>
      <c r="E743" s="58"/>
      <c r="F743" s="58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</row>
    <row r="744">
      <c r="A744" s="58"/>
      <c r="B744" s="58"/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</row>
    <row r="745">
      <c r="A745" s="58"/>
      <c r="B745" s="58"/>
      <c r="C745" s="58"/>
      <c r="D745" s="58"/>
      <c r="E745" s="58"/>
      <c r="F745" s="58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</row>
    <row r="746">
      <c r="A746" s="58"/>
      <c r="B746" s="58"/>
      <c r="C746" s="58"/>
      <c r="D746" s="58"/>
      <c r="E746" s="58"/>
      <c r="F746" s="58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</row>
    <row r="747">
      <c r="A747" s="58"/>
      <c r="B747" s="58"/>
      <c r="C747" s="58"/>
      <c r="D747" s="58"/>
      <c r="E747" s="58"/>
      <c r="F747" s="58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</row>
    <row r="748">
      <c r="A748" s="58"/>
      <c r="B748" s="58"/>
      <c r="C748" s="58"/>
      <c r="D748" s="58"/>
      <c r="E748" s="58"/>
      <c r="F748" s="58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</row>
    <row r="749">
      <c r="A749" s="58"/>
      <c r="B749" s="58"/>
      <c r="C749" s="58"/>
      <c r="D749" s="58"/>
      <c r="E749" s="58"/>
      <c r="F749" s="58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</row>
    <row r="750">
      <c r="A750" s="58"/>
      <c r="B750" s="58"/>
      <c r="C750" s="58"/>
      <c r="D750" s="58"/>
      <c r="E750" s="58"/>
      <c r="F750" s="58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</row>
    <row r="751">
      <c r="A751" s="58"/>
      <c r="B751" s="58"/>
      <c r="C751" s="58"/>
      <c r="D751" s="58"/>
      <c r="E751" s="58"/>
      <c r="F751" s="58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</row>
    <row r="752">
      <c r="A752" s="58"/>
      <c r="B752" s="58"/>
      <c r="C752" s="58"/>
      <c r="D752" s="58"/>
      <c r="E752" s="58"/>
      <c r="F752" s="58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</row>
    <row r="753">
      <c r="A753" s="58"/>
      <c r="B753" s="58"/>
      <c r="C753" s="58"/>
      <c r="D753" s="58"/>
      <c r="E753" s="58"/>
      <c r="F753" s="58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</row>
    <row r="754">
      <c r="A754" s="58"/>
      <c r="B754" s="58"/>
      <c r="C754" s="58"/>
      <c r="D754" s="58"/>
      <c r="E754" s="58"/>
      <c r="F754" s="58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</row>
    <row r="755">
      <c r="A755" s="58"/>
      <c r="B755" s="58"/>
      <c r="C755" s="58"/>
      <c r="D755" s="58"/>
      <c r="E755" s="58"/>
      <c r="F755" s="58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</row>
    <row r="756">
      <c r="A756" s="58"/>
      <c r="B756" s="58"/>
      <c r="C756" s="58"/>
      <c r="D756" s="58"/>
      <c r="E756" s="58"/>
      <c r="F756" s="58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</row>
    <row r="757">
      <c r="A757" s="58"/>
      <c r="B757" s="58"/>
      <c r="C757" s="58"/>
      <c r="D757" s="58"/>
      <c r="E757" s="58"/>
      <c r="F757" s="58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</row>
    <row r="758">
      <c r="A758" s="58"/>
      <c r="B758" s="58"/>
      <c r="C758" s="58"/>
      <c r="D758" s="58"/>
      <c r="E758" s="58"/>
      <c r="F758" s="58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</row>
    <row r="759">
      <c r="A759" s="58"/>
      <c r="B759" s="58"/>
      <c r="C759" s="58"/>
      <c r="D759" s="58"/>
      <c r="E759" s="58"/>
      <c r="F759" s="58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</row>
    <row r="760">
      <c r="A760" s="58"/>
      <c r="B760" s="58"/>
      <c r="C760" s="58"/>
      <c r="D760" s="58"/>
      <c r="E760" s="58"/>
      <c r="F760" s="58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</row>
    <row r="761">
      <c r="A761" s="58"/>
      <c r="B761" s="58"/>
      <c r="C761" s="58"/>
      <c r="D761" s="58"/>
      <c r="E761" s="58"/>
      <c r="F761" s="58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</row>
    <row r="762">
      <c r="A762" s="58"/>
      <c r="B762" s="58"/>
      <c r="C762" s="58"/>
      <c r="D762" s="58"/>
      <c r="E762" s="58"/>
      <c r="F762" s="58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</row>
    <row r="763">
      <c r="A763" s="58"/>
      <c r="B763" s="58"/>
      <c r="C763" s="58"/>
      <c r="D763" s="58"/>
      <c r="E763" s="58"/>
      <c r="F763" s="58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</row>
    <row r="764">
      <c r="A764" s="58"/>
      <c r="B764" s="58"/>
      <c r="C764" s="58"/>
      <c r="D764" s="58"/>
      <c r="E764" s="58"/>
      <c r="F764" s="58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</row>
    <row r="765">
      <c r="A765" s="58"/>
      <c r="B765" s="58"/>
      <c r="C765" s="58"/>
      <c r="D765" s="58"/>
      <c r="E765" s="58"/>
      <c r="F765" s="58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</row>
    <row r="766">
      <c r="A766" s="58"/>
      <c r="B766" s="58"/>
      <c r="C766" s="58"/>
      <c r="D766" s="58"/>
      <c r="E766" s="58"/>
      <c r="F766" s="58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</row>
    <row r="767">
      <c r="A767" s="58"/>
      <c r="B767" s="58"/>
      <c r="C767" s="58"/>
      <c r="D767" s="58"/>
      <c r="E767" s="58"/>
      <c r="F767" s="58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</row>
    <row r="768">
      <c r="A768" s="58"/>
      <c r="B768" s="58"/>
      <c r="C768" s="58"/>
      <c r="D768" s="58"/>
      <c r="E768" s="58"/>
      <c r="F768" s="58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</row>
    <row r="769">
      <c r="A769" s="58"/>
      <c r="B769" s="58"/>
      <c r="C769" s="58"/>
      <c r="D769" s="58"/>
      <c r="E769" s="58"/>
      <c r="F769" s="58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</row>
    <row r="770">
      <c r="A770" s="58"/>
      <c r="B770" s="58"/>
      <c r="C770" s="58"/>
      <c r="D770" s="58"/>
      <c r="E770" s="58"/>
      <c r="F770" s="58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</row>
    <row r="771">
      <c r="A771" s="58"/>
      <c r="B771" s="58"/>
      <c r="C771" s="58"/>
      <c r="D771" s="58"/>
      <c r="E771" s="58"/>
      <c r="F771" s="58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</row>
    <row r="772">
      <c r="A772" s="58"/>
      <c r="B772" s="58"/>
      <c r="C772" s="58"/>
      <c r="D772" s="58"/>
      <c r="E772" s="58"/>
      <c r="F772" s="58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</row>
    <row r="773">
      <c r="A773" s="58"/>
      <c r="B773" s="58"/>
      <c r="C773" s="58"/>
      <c r="D773" s="58"/>
      <c r="E773" s="58"/>
      <c r="F773" s="58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</row>
    <row r="774">
      <c r="A774" s="58"/>
      <c r="B774" s="58"/>
      <c r="C774" s="58"/>
      <c r="D774" s="58"/>
      <c r="E774" s="58"/>
      <c r="F774" s="58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</row>
    <row r="775">
      <c r="A775" s="58"/>
      <c r="B775" s="58"/>
      <c r="C775" s="58"/>
      <c r="D775" s="58"/>
      <c r="E775" s="58"/>
      <c r="F775" s="58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</row>
    <row r="776">
      <c r="A776" s="58"/>
      <c r="B776" s="58"/>
      <c r="C776" s="58"/>
      <c r="D776" s="58"/>
      <c r="E776" s="58"/>
      <c r="F776" s="58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</row>
    <row r="777">
      <c r="A777" s="58"/>
      <c r="B777" s="58"/>
      <c r="C777" s="58"/>
      <c r="D777" s="58"/>
      <c r="E777" s="58"/>
      <c r="F777" s="58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</row>
    <row r="778">
      <c r="A778" s="58"/>
      <c r="B778" s="58"/>
      <c r="C778" s="58"/>
      <c r="D778" s="58"/>
      <c r="E778" s="58"/>
      <c r="F778" s="58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</row>
    <row r="779">
      <c r="A779" s="58"/>
      <c r="B779" s="58"/>
      <c r="C779" s="58"/>
      <c r="D779" s="58"/>
      <c r="E779" s="58"/>
      <c r="F779" s="58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</row>
    <row r="780">
      <c r="A780" s="58"/>
      <c r="B780" s="58"/>
      <c r="C780" s="58"/>
      <c r="D780" s="58"/>
      <c r="E780" s="58"/>
      <c r="F780" s="58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</row>
    <row r="781">
      <c r="A781" s="58"/>
      <c r="B781" s="58"/>
      <c r="C781" s="58"/>
      <c r="D781" s="58"/>
      <c r="E781" s="58"/>
      <c r="F781" s="58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</row>
    <row r="782">
      <c r="A782" s="58"/>
      <c r="B782" s="58"/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</row>
    <row r="783">
      <c r="A783" s="58"/>
      <c r="B783" s="58"/>
      <c r="C783" s="58"/>
      <c r="D783" s="58"/>
      <c r="E783" s="58"/>
      <c r="F783" s="58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</row>
    <row r="784">
      <c r="A784" s="58"/>
      <c r="B784" s="58"/>
      <c r="C784" s="58"/>
      <c r="D784" s="58"/>
      <c r="E784" s="58"/>
      <c r="F784" s="58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</row>
    <row r="785">
      <c r="A785" s="58"/>
      <c r="B785" s="58"/>
      <c r="C785" s="58"/>
      <c r="D785" s="58"/>
      <c r="E785" s="58"/>
      <c r="F785" s="58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</row>
    <row r="786">
      <c r="A786" s="58"/>
      <c r="B786" s="58"/>
      <c r="C786" s="58"/>
      <c r="D786" s="58"/>
      <c r="E786" s="58"/>
      <c r="F786" s="58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</row>
    <row r="787">
      <c r="A787" s="58"/>
      <c r="B787" s="58"/>
      <c r="C787" s="58"/>
      <c r="D787" s="58"/>
      <c r="E787" s="58"/>
      <c r="F787" s="58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</row>
    <row r="788">
      <c r="A788" s="58"/>
      <c r="B788" s="58"/>
      <c r="C788" s="58"/>
      <c r="D788" s="58"/>
      <c r="E788" s="58"/>
      <c r="F788" s="58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</row>
    <row r="789">
      <c r="A789" s="58"/>
      <c r="B789" s="58"/>
      <c r="C789" s="58"/>
      <c r="D789" s="58"/>
      <c r="E789" s="58"/>
      <c r="F789" s="58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</row>
    <row r="790">
      <c r="A790" s="58"/>
      <c r="B790" s="58"/>
      <c r="C790" s="58"/>
      <c r="D790" s="58"/>
      <c r="E790" s="58"/>
      <c r="F790" s="58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</row>
    <row r="791">
      <c r="A791" s="58"/>
      <c r="B791" s="58"/>
      <c r="C791" s="58"/>
      <c r="D791" s="58"/>
      <c r="E791" s="58"/>
      <c r="F791" s="58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</row>
    <row r="792">
      <c r="A792" s="58"/>
      <c r="B792" s="58"/>
      <c r="C792" s="58"/>
      <c r="D792" s="58"/>
      <c r="E792" s="58"/>
      <c r="F792" s="58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</row>
    <row r="793">
      <c r="A793" s="58"/>
      <c r="B793" s="58"/>
      <c r="C793" s="58"/>
      <c r="D793" s="58"/>
      <c r="E793" s="58"/>
      <c r="F793" s="58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</row>
    <row r="794">
      <c r="A794" s="58"/>
      <c r="B794" s="58"/>
      <c r="C794" s="58"/>
      <c r="D794" s="58"/>
      <c r="E794" s="58"/>
      <c r="F794" s="58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</row>
    <row r="795">
      <c r="A795" s="58"/>
      <c r="B795" s="58"/>
      <c r="C795" s="58"/>
      <c r="D795" s="58"/>
      <c r="E795" s="58"/>
      <c r="F795" s="58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</row>
    <row r="796">
      <c r="A796" s="58"/>
      <c r="B796" s="58"/>
      <c r="C796" s="58"/>
      <c r="D796" s="58"/>
      <c r="E796" s="58"/>
      <c r="F796" s="58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</row>
    <row r="797">
      <c r="A797" s="58"/>
      <c r="B797" s="58"/>
      <c r="C797" s="58"/>
      <c r="D797" s="58"/>
      <c r="E797" s="58"/>
      <c r="F797" s="58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</row>
    <row r="798">
      <c r="A798" s="58"/>
      <c r="B798" s="58"/>
      <c r="C798" s="58"/>
      <c r="D798" s="58"/>
      <c r="E798" s="58"/>
      <c r="F798" s="58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</row>
    <row r="799">
      <c r="A799" s="58"/>
      <c r="B799" s="58"/>
      <c r="C799" s="58"/>
      <c r="D799" s="58"/>
      <c r="E799" s="58"/>
      <c r="F799" s="58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</row>
    <row r="800">
      <c r="A800" s="58"/>
      <c r="B800" s="58"/>
      <c r="C800" s="58"/>
      <c r="D800" s="58"/>
      <c r="E800" s="58"/>
      <c r="F800" s="58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</row>
    <row r="801">
      <c r="A801" s="58"/>
      <c r="B801" s="58"/>
      <c r="C801" s="58"/>
      <c r="D801" s="58"/>
      <c r="E801" s="58"/>
      <c r="F801" s="58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</row>
    <row r="802">
      <c r="A802" s="58"/>
      <c r="B802" s="58"/>
      <c r="C802" s="58"/>
      <c r="D802" s="58"/>
      <c r="E802" s="58"/>
      <c r="F802" s="58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</row>
    <row r="803">
      <c r="A803" s="58"/>
      <c r="B803" s="58"/>
      <c r="C803" s="58"/>
      <c r="D803" s="58"/>
      <c r="E803" s="58"/>
      <c r="F803" s="58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</row>
    <row r="804">
      <c r="A804" s="58"/>
      <c r="B804" s="58"/>
      <c r="C804" s="58"/>
      <c r="D804" s="58"/>
      <c r="E804" s="58"/>
      <c r="F804" s="58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</row>
    <row r="805">
      <c r="A805" s="58"/>
      <c r="B805" s="58"/>
      <c r="C805" s="58"/>
      <c r="D805" s="58"/>
      <c r="E805" s="58"/>
      <c r="F805" s="58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</row>
    <row r="806">
      <c r="A806" s="58"/>
      <c r="B806" s="58"/>
      <c r="C806" s="58"/>
      <c r="D806" s="58"/>
      <c r="E806" s="58"/>
      <c r="F806" s="58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</row>
    <row r="807">
      <c r="A807" s="58"/>
      <c r="B807" s="58"/>
      <c r="C807" s="58"/>
      <c r="D807" s="58"/>
      <c r="E807" s="58"/>
      <c r="F807" s="58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</row>
    <row r="808">
      <c r="A808" s="58"/>
      <c r="B808" s="58"/>
      <c r="C808" s="58"/>
      <c r="D808" s="58"/>
      <c r="E808" s="58"/>
      <c r="F808" s="58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</row>
    <row r="809">
      <c r="A809" s="58"/>
      <c r="B809" s="58"/>
      <c r="C809" s="58"/>
      <c r="D809" s="58"/>
      <c r="E809" s="58"/>
      <c r="F809" s="58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</row>
    <row r="810">
      <c r="A810" s="58"/>
      <c r="B810" s="58"/>
      <c r="C810" s="58"/>
      <c r="D810" s="58"/>
      <c r="E810" s="58"/>
      <c r="F810" s="58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</row>
    <row r="811">
      <c r="A811" s="58"/>
      <c r="B811" s="58"/>
      <c r="C811" s="58"/>
      <c r="D811" s="58"/>
      <c r="E811" s="58"/>
      <c r="F811" s="58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</row>
    <row r="812">
      <c r="A812" s="58"/>
      <c r="B812" s="58"/>
      <c r="C812" s="58"/>
      <c r="D812" s="58"/>
      <c r="E812" s="58"/>
      <c r="F812" s="58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</row>
    <row r="813">
      <c r="A813" s="58"/>
      <c r="B813" s="58"/>
      <c r="C813" s="58"/>
      <c r="D813" s="58"/>
      <c r="E813" s="58"/>
      <c r="F813" s="58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</row>
    <row r="814">
      <c r="A814" s="58"/>
      <c r="B814" s="58"/>
      <c r="C814" s="58"/>
      <c r="D814" s="58"/>
      <c r="E814" s="58"/>
      <c r="F814" s="58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</row>
    <row r="815">
      <c r="A815" s="58"/>
      <c r="B815" s="58"/>
      <c r="C815" s="58"/>
      <c r="D815" s="58"/>
      <c r="E815" s="58"/>
      <c r="F815" s="58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</row>
    <row r="816">
      <c r="A816" s="58"/>
      <c r="B816" s="58"/>
      <c r="C816" s="58"/>
      <c r="D816" s="58"/>
      <c r="E816" s="58"/>
      <c r="F816" s="58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</row>
    <row r="817">
      <c r="A817" s="58"/>
      <c r="B817" s="58"/>
      <c r="C817" s="58"/>
      <c r="D817" s="58"/>
      <c r="E817" s="58"/>
      <c r="F817" s="58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</row>
    <row r="818">
      <c r="A818" s="58"/>
      <c r="B818" s="58"/>
      <c r="C818" s="58"/>
      <c r="D818" s="58"/>
      <c r="E818" s="58"/>
      <c r="F818" s="58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</row>
    <row r="819">
      <c r="A819" s="58"/>
      <c r="B819" s="58"/>
      <c r="C819" s="58"/>
      <c r="D819" s="58"/>
      <c r="E819" s="58"/>
      <c r="F819" s="58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</row>
    <row r="820">
      <c r="A820" s="58"/>
      <c r="B820" s="58"/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</row>
    <row r="821">
      <c r="A821" s="58"/>
      <c r="B821" s="58"/>
      <c r="C821" s="58"/>
      <c r="D821" s="58"/>
      <c r="E821" s="58"/>
      <c r="F821" s="58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</row>
    <row r="822">
      <c r="A822" s="58"/>
      <c r="B822" s="58"/>
      <c r="C822" s="58"/>
      <c r="D822" s="58"/>
      <c r="E822" s="58"/>
      <c r="F822" s="58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</row>
    <row r="823">
      <c r="A823" s="58"/>
      <c r="B823" s="58"/>
      <c r="C823" s="58"/>
      <c r="D823" s="58"/>
      <c r="E823" s="58"/>
      <c r="F823" s="58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</row>
    <row r="824">
      <c r="A824" s="58"/>
      <c r="B824" s="58"/>
      <c r="C824" s="58"/>
      <c r="D824" s="58"/>
      <c r="E824" s="58"/>
      <c r="F824" s="58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</row>
    <row r="825">
      <c r="A825" s="58"/>
      <c r="B825" s="58"/>
      <c r="C825" s="58"/>
      <c r="D825" s="58"/>
      <c r="E825" s="58"/>
      <c r="F825" s="58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</row>
    <row r="826">
      <c r="A826" s="58"/>
      <c r="B826" s="58"/>
      <c r="C826" s="58"/>
      <c r="D826" s="58"/>
      <c r="E826" s="58"/>
      <c r="F826" s="58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</row>
    <row r="827">
      <c r="A827" s="58"/>
      <c r="B827" s="58"/>
      <c r="C827" s="58"/>
      <c r="D827" s="58"/>
      <c r="E827" s="58"/>
      <c r="F827" s="58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</row>
    <row r="828">
      <c r="A828" s="58"/>
      <c r="B828" s="58"/>
      <c r="C828" s="58"/>
      <c r="D828" s="58"/>
      <c r="E828" s="58"/>
      <c r="F828" s="58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</row>
    <row r="829">
      <c r="A829" s="58"/>
      <c r="B829" s="58"/>
      <c r="C829" s="58"/>
      <c r="D829" s="58"/>
      <c r="E829" s="58"/>
      <c r="F829" s="58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</row>
    <row r="830">
      <c r="A830" s="58"/>
      <c r="B830" s="58"/>
      <c r="C830" s="58"/>
      <c r="D830" s="58"/>
      <c r="E830" s="58"/>
      <c r="F830" s="58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</row>
    <row r="831">
      <c r="A831" s="58"/>
      <c r="B831" s="58"/>
      <c r="C831" s="58"/>
      <c r="D831" s="58"/>
      <c r="E831" s="58"/>
      <c r="F831" s="58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</row>
    <row r="832">
      <c r="A832" s="58"/>
      <c r="B832" s="58"/>
      <c r="C832" s="58"/>
      <c r="D832" s="58"/>
      <c r="E832" s="58"/>
      <c r="F832" s="58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</row>
    <row r="833">
      <c r="A833" s="58"/>
      <c r="B833" s="58"/>
      <c r="C833" s="58"/>
      <c r="D833" s="58"/>
      <c r="E833" s="58"/>
      <c r="F833" s="58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</row>
    <row r="834">
      <c r="A834" s="58"/>
      <c r="B834" s="58"/>
      <c r="C834" s="58"/>
      <c r="D834" s="58"/>
      <c r="E834" s="58"/>
      <c r="F834" s="58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</row>
    <row r="835">
      <c r="A835" s="58"/>
      <c r="B835" s="58"/>
      <c r="C835" s="58"/>
      <c r="D835" s="58"/>
      <c r="E835" s="58"/>
      <c r="F835" s="58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</row>
    <row r="836">
      <c r="A836" s="58"/>
      <c r="B836" s="58"/>
      <c r="C836" s="58"/>
      <c r="D836" s="58"/>
      <c r="E836" s="58"/>
      <c r="F836" s="58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</row>
    <row r="837">
      <c r="A837" s="58"/>
      <c r="B837" s="58"/>
      <c r="C837" s="58"/>
      <c r="D837" s="58"/>
      <c r="E837" s="58"/>
      <c r="F837" s="58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</row>
    <row r="838">
      <c r="A838" s="58"/>
      <c r="B838" s="58"/>
      <c r="C838" s="58"/>
      <c r="D838" s="58"/>
      <c r="E838" s="58"/>
      <c r="F838" s="58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</row>
    <row r="839">
      <c r="A839" s="58"/>
      <c r="B839" s="58"/>
      <c r="C839" s="58"/>
      <c r="D839" s="58"/>
      <c r="E839" s="58"/>
      <c r="F839" s="58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</row>
    <row r="840">
      <c r="A840" s="58"/>
      <c r="B840" s="58"/>
      <c r="C840" s="58"/>
      <c r="D840" s="58"/>
      <c r="E840" s="58"/>
      <c r="F840" s="58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</row>
    <row r="841">
      <c r="A841" s="58"/>
      <c r="B841" s="58"/>
      <c r="C841" s="58"/>
      <c r="D841" s="58"/>
      <c r="E841" s="58"/>
      <c r="F841" s="58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</row>
    <row r="842">
      <c r="A842" s="58"/>
      <c r="B842" s="58"/>
      <c r="C842" s="58"/>
      <c r="D842" s="58"/>
      <c r="E842" s="58"/>
      <c r="F842" s="58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</row>
    <row r="843">
      <c r="A843" s="58"/>
      <c r="B843" s="58"/>
      <c r="C843" s="58"/>
      <c r="D843" s="58"/>
      <c r="E843" s="58"/>
      <c r="F843" s="58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</row>
    <row r="844">
      <c r="A844" s="58"/>
      <c r="B844" s="58"/>
      <c r="C844" s="58"/>
      <c r="D844" s="58"/>
      <c r="E844" s="58"/>
      <c r="F844" s="58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</row>
    <row r="845">
      <c r="A845" s="58"/>
      <c r="B845" s="58"/>
      <c r="C845" s="58"/>
      <c r="D845" s="58"/>
      <c r="E845" s="58"/>
      <c r="F845" s="58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</row>
    <row r="846">
      <c r="A846" s="58"/>
      <c r="B846" s="58"/>
      <c r="C846" s="58"/>
      <c r="D846" s="58"/>
      <c r="E846" s="58"/>
      <c r="F846" s="58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</row>
    <row r="847">
      <c r="A847" s="58"/>
      <c r="B847" s="58"/>
      <c r="C847" s="58"/>
      <c r="D847" s="58"/>
      <c r="E847" s="58"/>
      <c r="F847" s="58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</row>
    <row r="848">
      <c r="A848" s="58"/>
      <c r="B848" s="58"/>
      <c r="C848" s="58"/>
      <c r="D848" s="58"/>
      <c r="E848" s="58"/>
      <c r="F848" s="58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</row>
    <row r="849">
      <c r="A849" s="58"/>
      <c r="B849" s="58"/>
      <c r="C849" s="58"/>
      <c r="D849" s="58"/>
      <c r="E849" s="58"/>
      <c r="F849" s="58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</row>
    <row r="850">
      <c r="A850" s="58"/>
      <c r="B850" s="58"/>
      <c r="C850" s="58"/>
      <c r="D850" s="58"/>
      <c r="E850" s="58"/>
      <c r="F850" s="58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</row>
    <row r="851">
      <c r="A851" s="58"/>
      <c r="B851" s="58"/>
      <c r="C851" s="58"/>
      <c r="D851" s="58"/>
      <c r="E851" s="58"/>
      <c r="F851" s="58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</row>
    <row r="852">
      <c r="A852" s="58"/>
      <c r="B852" s="58"/>
      <c r="C852" s="58"/>
      <c r="D852" s="58"/>
      <c r="E852" s="58"/>
      <c r="F852" s="58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</row>
    <row r="853">
      <c r="A853" s="58"/>
      <c r="B853" s="58"/>
      <c r="C853" s="58"/>
      <c r="D853" s="58"/>
      <c r="E853" s="58"/>
      <c r="F853" s="58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</row>
    <row r="854">
      <c r="A854" s="58"/>
      <c r="B854" s="58"/>
      <c r="C854" s="58"/>
      <c r="D854" s="58"/>
      <c r="E854" s="58"/>
      <c r="F854" s="58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</row>
    <row r="855">
      <c r="A855" s="58"/>
      <c r="B855" s="58"/>
      <c r="C855" s="58"/>
      <c r="D855" s="58"/>
      <c r="E855" s="58"/>
      <c r="F855" s="58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</row>
    <row r="856">
      <c r="A856" s="58"/>
      <c r="B856" s="58"/>
      <c r="C856" s="58"/>
      <c r="D856" s="58"/>
      <c r="E856" s="58"/>
      <c r="F856" s="58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</row>
    <row r="857">
      <c r="A857" s="58"/>
      <c r="B857" s="58"/>
      <c r="C857" s="58"/>
      <c r="D857" s="58"/>
      <c r="E857" s="58"/>
      <c r="F857" s="58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</row>
    <row r="858">
      <c r="A858" s="58"/>
      <c r="B858" s="58"/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</row>
    <row r="859">
      <c r="A859" s="58"/>
      <c r="B859" s="58"/>
      <c r="C859" s="58"/>
      <c r="D859" s="58"/>
      <c r="E859" s="58"/>
      <c r="F859" s="58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</row>
    <row r="860">
      <c r="A860" s="58"/>
      <c r="B860" s="58"/>
      <c r="C860" s="58"/>
      <c r="D860" s="58"/>
      <c r="E860" s="58"/>
      <c r="F860" s="58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</row>
    <row r="861">
      <c r="A861" s="58"/>
      <c r="B861" s="58"/>
      <c r="C861" s="58"/>
      <c r="D861" s="58"/>
      <c r="E861" s="58"/>
      <c r="F861" s="58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</row>
    <row r="862">
      <c r="A862" s="58"/>
      <c r="B862" s="58"/>
      <c r="C862" s="58"/>
      <c r="D862" s="58"/>
      <c r="E862" s="58"/>
      <c r="F862" s="58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</row>
    <row r="863">
      <c r="A863" s="58"/>
      <c r="B863" s="58"/>
      <c r="C863" s="58"/>
      <c r="D863" s="58"/>
      <c r="E863" s="58"/>
      <c r="F863" s="58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</row>
    <row r="864">
      <c r="A864" s="58"/>
      <c r="B864" s="58"/>
      <c r="C864" s="58"/>
      <c r="D864" s="58"/>
      <c r="E864" s="58"/>
      <c r="F864" s="58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</row>
    <row r="865">
      <c r="A865" s="58"/>
      <c r="B865" s="58"/>
      <c r="C865" s="58"/>
      <c r="D865" s="58"/>
      <c r="E865" s="58"/>
      <c r="F865" s="58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</row>
    <row r="866">
      <c r="A866" s="58"/>
      <c r="B866" s="58"/>
      <c r="C866" s="58"/>
      <c r="D866" s="58"/>
      <c r="E866" s="58"/>
      <c r="F866" s="58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</row>
    <row r="867">
      <c r="A867" s="58"/>
      <c r="B867" s="58"/>
      <c r="C867" s="58"/>
      <c r="D867" s="58"/>
      <c r="E867" s="58"/>
      <c r="F867" s="58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</row>
    <row r="868">
      <c r="A868" s="58"/>
      <c r="B868" s="58"/>
      <c r="C868" s="58"/>
      <c r="D868" s="58"/>
      <c r="E868" s="58"/>
      <c r="F868" s="58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</row>
    <row r="869">
      <c r="A869" s="58"/>
      <c r="B869" s="58"/>
      <c r="C869" s="58"/>
      <c r="D869" s="58"/>
      <c r="E869" s="58"/>
      <c r="F869" s="58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</row>
    <row r="870">
      <c r="A870" s="58"/>
      <c r="B870" s="58"/>
      <c r="C870" s="58"/>
      <c r="D870" s="58"/>
      <c r="E870" s="58"/>
      <c r="F870" s="58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</row>
    <row r="871">
      <c r="A871" s="58"/>
      <c r="B871" s="58"/>
      <c r="C871" s="58"/>
      <c r="D871" s="58"/>
      <c r="E871" s="58"/>
      <c r="F871" s="58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</row>
    <row r="872">
      <c r="A872" s="58"/>
      <c r="B872" s="58"/>
      <c r="C872" s="58"/>
      <c r="D872" s="58"/>
      <c r="E872" s="58"/>
      <c r="F872" s="58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</row>
    <row r="873">
      <c r="A873" s="58"/>
      <c r="B873" s="58"/>
      <c r="C873" s="58"/>
      <c r="D873" s="58"/>
      <c r="E873" s="58"/>
      <c r="F873" s="58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</row>
    <row r="874">
      <c r="A874" s="58"/>
      <c r="B874" s="58"/>
      <c r="C874" s="58"/>
      <c r="D874" s="58"/>
      <c r="E874" s="58"/>
      <c r="F874" s="58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</row>
    <row r="875">
      <c r="A875" s="58"/>
      <c r="B875" s="58"/>
      <c r="C875" s="58"/>
      <c r="D875" s="58"/>
      <c r="E875" s="58"/>
      <c r="F875" s="58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</row>
    <row r="876">
      <c r="A876" s="58"/>
      <c r="B876" s="58"/>
      <c r="C876" s="58"/>
      <c r="D876" s="58"/>
      <c r="E876" s="58"/>
      <c r="F876" s="58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</row>
    <row r="877">
      <c r="A877" s="58"/>
      <c r="B877" s="58"/>
      <c r="C877" s="58"/>
      <c r="D877" s="58"/>
      <c r="E877" s="58"/>
      <c r="F877" s="58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</row>
    <row r="878">
      <c r="A878" s="58"/>
      <c r="B878" s="58"/>
      <c r="C878" s="58"/>
      <c r="D878" s="58"/>
      <c r="E878" s="58"/>
      <c r="F878" s="58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</row>
    <row r="879">
      <c r="A879" s="58"/>
      <c r="B879" s="58"/>
      <c r="C879" s="58"/>
      <c r="D879" s="58"/>
      <c r="E879" s="58"/>
      <c r="F879" s="58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</row>
    <row r="880">
      <c r="A880" s="58"/>
      <c r="B880" s="58"/>
      <c r="C880" s="58"/>
      <c r="D880" s="58"/>
      <c r="E880" s="58"/>
      <c r="F880" s="58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</row>
    <row r="881">
      <c r="A881" s="58"/>
      <c r="B881" s="58"/>
      <c r="C881" s="58"/>
      <c r="D881" s="58"/>
      <c r="E881" s="58"/>
      <c r="F881" s="58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</row>
    <row r="882">
      <c r="A882" s="58"/>
      <c r="B882" s="58"/>
      <c r="C882" s="58"/>
      <c r="D882" s="58"/>
      <c r="E882" s="58"/>
      <c r="F882" s="58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</row>
    <row r="883">
      <c r="A883" s="58"/>
      <c r="B883" s="58"/>
      <c r="C883" s="58"/>
      <c r="D883" s="58"/>
      <c r="E883" s="58"/>
      <c r="F883" s="58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</row>
    <row r="884">
      <c r="A884" s="58"/>
      <c r="B884" s="58"/>
      <c r="C884" s="58"/>
      <c r="D884" s="58"/>
      <c r="E884" s="58"/>
      <c r="F884" s="58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</row>
    <row r="885">
      <c r="A885" s="58"/>
      <c r="B885" s="58"/>
      <c r="C885" s="58"/>
      <c r="D885" s="58"/>
      <c r="E885" s="58"/>
      <c r="F885" s="58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</row>
    <row r="886">
      <c r="A886" s="58"/>
      <c r="B886" s="58"/>
      <c r="C886" s="58"/>
      <c r="D886" s="58"/>
      <c r="E886" s="58"/>
      <c r="F886" s="58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</row>
    <row r="887">
      <c r="A887" s="58"/>
      <c r="B887" s="58"/>
      <c r="C887" s="58"/>
      <c r="D887" s="58"/>
      <c r="E887" s="58"/>
      <c r="F887" s="58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</row>
    <row r="888">
      <c r="A888" s="58"/>
      <c r="B888" s="58"/>
      <c r="C888" s="58"/>
      <c r="D888" s="58"/>
      <c r="E888" s="58"/>
      <c r="F888" s="58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</row>
    <row r="889">
      <c r="A889" s="58"/>
      <c r="B889" s="58"/>
      <c r="C889" s="58"/>
      <c r="D889" s="58"/>
      <c r="E889" s="58"/>
      <c r="F889" s="58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</row>
    <row r="890">
      <c r="A890" s="58"/>
      <c r="B890" s="58"/>
      <c r="C890" s="58"/>
      <c r="D890" s="58"/>
      <c r="E890" s="58"/>
      <c r="F890" s="58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</row>
    <row r="891">
      <c r="A891" s="58"/>
      <c r="B891" s="58"/>
      <c r="C891" s="58"/>
      <c r="D891" s="58"/>
      <c r="E891" s="58"/>
      <c r="F891" s="58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</row>
    <row r="892">
      <c r="A892" s="58"/>
      <c r="B892" s="58"/>
      <c r="C892" s="58"/>
      <c r="D892" s="58"/>
      <c r="E892" s="58"/>
      <c r="F892" s="58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</row>
    <row r="893">
      <c r="A893" s="58"/>
      <c r="B893" s="58"/>
      <c r="C893" s="58"/>
      <c r="D893" s="58"/>
      <c r="E893" s="58"/>
      <c r="F893" s="58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</row>
    <row r="894">
      <c r="A894" s="58"/>
      <c r="B894" s="58"/>
      <c r="C894" s="58"/>
      <c r="D894" s="58"/>
      <c r="E894" s="58"/>
      <c r="F894" s="58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</row>
    <row r="895">
      <c r="A895" s="58"/>
      <c r="B895" s="58"/>
      <c r="C895" s="58"/>
      <c r="D895" s="58"/>
      <c r="E895" s="58"/>
      <c r="F895" s="58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</row>
    <row r="896">
      <c r="A896" s="58"/>
      <c r="B896" s="58"/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</row>
    <row r="897">
      <c r="A897" s="58"/>
      <c r="B897" s="58"/>
      <c r="C897" s="58"/>
      <c r="D897" s="58"/>
      <c r="E897" s="58"/>
      <c r="F897" s="58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</row>
    <row r="898">
      <c r="A898" s="58"/>
      <c r="B898" s="58"/>
      <c r="C898" s="58"/>
      <c r="D898" s="58"/>
      <c r="E898" s="58"/>
      <c r="F898" s="58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</row>
    <row r="899">
      <c r="A899" s="58"/>
      <c r="B899" s="58"/>
      <c r="C899" s="58"/>
      <c r="D899" s="58"/>
      <c r="E899" s="58"/>
      <c r="F899" s="58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</row>
    <row r="900">
      <c r="A900" s="58"/>
      <c r="B900" s="58"/>
      <c r="C900" s="58"/>
      <c r="D900" s="58"/>
      <c r="E900" s="58"/>
      <c r="F900" s="58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</row>
    <row r="901">
      <c r="A901" s="58"/>
      <c r="B901" s="58"/>
      <c r="C901" s="58"/>
      <c r="D901" s="58"/>
      <c r="E901" s="58"/>
      <c r="F901" s="58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</row>
    <row r="902">
      <c r="A902" s="58"/>
      <c r="B902" s="58"/>
      <c r="C902" s="58"/>
      <c r="D902" s="58"/>
      <c r="E902" s="58"/>
      <c r="F902" s="58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</row>
    <row r="903">
      <c r="A903" s="58"/>
      <c r="B903" s="58"/>
      <c r="C903" s="58"/>
      <c r="D903" s="58"/>
      <c r="E903" s="58"/>
      <c r="F903" s="58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</row>
    <row r="904">
      <c r="A904" s="58"/>
      <c r="B904" s="58"/>
      <c r="C904" s="58"/>
      <c r="D904" s="58"/>
      <c r="E904" s="58"/>
      <c r="F904" s="58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</row>
    <row r="905">
      <c r="A905" s="58"/>
      <c r="B905" s="58"/>
      <c r="C905" s="58"/>
      <c r="D905" s="58"/>
      <c r="E905" s="58"/>
      <c r="F905" s="58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</row>
    <row r="906">
      <c r="A906" s="58"/>
      <c r="B906" s="58"/>
      <c r="C906" s="58"/>
      <c r="D906" s="58"/>
      <c r="E906" s="58"/>
      <c r="F906" s="58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</row>
    <row r="907">
      <c r="A907" s="58"/>
      <c r="B907" s="58"/>
      <c r="C907" s="58"/>
      <c r="D907" s="58"/>
      <c r="E907" s="58"/>
      <c r="F907" s="58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</row>
    <row r="908">
      <c r="A908" s="58"/>
      <c r="B908" s="58"/>
      <c r="C908" s="58"/>
      <c r="D908" s="58"/>
      <c r="E908" s="58"/>
      <c r="F908" s="58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</row>
    <row r="909">
      <c r="A909" s="58"/>
      <c r="B909" s="58"/>
      <c r="C909" s="58"/>
      <c r="D909" s="58"/>
      <c r="E909" s="58"/>
      <c r="F909" s="58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</row>
    <row r="910">
      <c r="A910" s="58"/>
      <c r="B910" s="58"/>
      <c r="C910" s="58"/>
      <c r="D910" s="58"/>
      <c r="E910" s="58"/>
      <c r="F910" s="58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</row>
    <row r="911">
      <c r="A911" s="58"/>
      <c r="B911" s="58"/>
      <c r="C911" s="58"/>
      <c r="D911" s="58"/>
      <c r="E911" s="58"/>
      <c r="F911" s="58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</row>
    <row r="912">
      <c r="A912" s="58"/>
      <c r="B912" s="58"/>
      <c r="C912" s="58"/>
      <c r="D912" s="58"/>
      <c r="E912" s="58"/>
      <c r="F912" s="58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</row>
    <row r="913">
      <c r="A913" s="58"/>
      <c r="B913" s="58"/>
      <c r="C913" s="58"/>
      <c r="D913" s="58"/>
      <c r="E913" s="58"/>
      <c r="F913" s="58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</row>
    <row r="914">
      <c r="A914" s="58"/>
      <c r="B914" s="58"/>
      <c r="C914" s="58"/>
      <c r="D914" s="58"/>
      <c r="E914" s="58"/>
      <c r="F914" s="58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</row>
    <row r="915">
      <c r="A915" s="58"/>
      <c r="B915" s="58"/>
      <c r="C915" s="58"/>
      <c r="D915" s="58"/>
      <c r="E915" s="58"/>
      <c r="F915" s="58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</row>
    <row r="916">
      <c r="A916" s="58"/>
      <c r="B916" s="58"/>
      <c r="C916" s="58"/>
      <c r="D916" s="58"/>
      <c r="E916" s="58"/>
      <c r="F916" s="58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</row>
    <row r="917">
      <c r="A917" s="58"/>
      <c r="B917" s="58"/>
      <c r="C917" s="58"/>
      <c r="D917" s="58"/>
      <c r="E917" s="58"/>
      <c r="F917" s="58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</row>
    <row r="918">
      <c r="A918" s="58"/>
      <c r="B918" s="58"/>
      <c r="C918" s="58"/>
      <c r="D918" s="58"/>
      <c r="E918" s="58"/>
      <c r="F918" s="58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</row>
    <row r="919">
      <c r="A919" s="58"/>
      <c r="B919" s="58"/>
      <c r="C919" s="58"/>
      <c r="D919" s="58"/>
      <c r="E919" s="58"/>
      <c r="F919" s="58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</row>
    <row r="920">
      <c r="A920" s="58"/>
      <c r="B920" s="58"/>
      <c r="C920" s="58"/>
      <c r="D920" s="58"/>
      <c r="E920" s="58"/>
      <c r="F920" s="58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</row>
    <row r="921">
      <c r="A921" s="58"/>
      <c r="B921" s="58"/>
      <c r="C921" s="58"/>
      <c r="D921" s="58"/>
      <c r="E921" s="58"/>
      <c r="F921" s="58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</row>
    <row r="922">
      <c r="A922" s="58"/>
      <c r="B922" s="58"/>
      <c r="C922" s="58"/>
      <c r="D922" s="58"/>
      <c r="E922" s="58"/>
      <c r="F922" s="58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</row>
    <row r="923">
      <c r="A923" s="58"/>
      <c r="B923" s="58"/>
      <c r="C923" s="58"/>
      <c r="D923" s="58"/>
      <c r="E923" s="58"/>
      <c r="F923" s="58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</row>
    <row r="924">
      <c r="A924" s="58"/>
      <c r="B924" s="58"/>
      <c r="C924" s="58"/>
      <c r="D924" s="58"/>
      <c r="E924" s="58"/>
      <c r="F924" s="58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</row>
    <row r="925">
      <c r="A925" s="58"/>
      <c r="B925" s="58"/>
      <c r="C925" s="58"/>
      <c r="D925" s="58"/>
      <c r="E925" s="58"/>
      <c r="F925" s="58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</row>
    <row r="926">
      <c r="A926" s="58"/>
      <c r="B926" s="58"/>
      <c r="C926" s="58"/>
      <c r="D926" s="58"/>
      <c r="E926" s="58"/>
      <c r="F926" s="58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</row>
    <row r="927">
      <c r="A927" s="58"/>
      <c r="B927" s="58"/>
      <c r="C927" s="58"/>
      <c r="D927" s="58"/>
      <c r="E927" s="58"/>
      <c r="F927" s="58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</row>
    <row r="928">
      <c r="A928" s="58"/>
      <c r="B928" s="58"/>
      <c r="C928" s="58"/>
      <c r="D928" s="58"/>
      <c r="E928" s="58"/>
      <c r="F928" s="58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</row>
    <row r="929">
      <c r="A929" s="58"/>
      <c r="B929" s="58"/>
      <c r="C929" s="58"/>
      <c r="D929" s="58"/>
      <c r="E929" s="58"/>
      <c r="F929" s="58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</row>
    <row r="930">
      <c r="A930" s="58"/>
      <c r="B930" s="58"/>
      <c r="C930" s="58"/>
      <c r="D930" s="58"/>
      <c r="E930" s="58"/>
      <c r="F930" s="58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</row>
    <row r="931">
      <c r="A931" s="58"/>
      <c r="B931" s="58"/>
      <c r="C931" s="58"/>
      <c r="D931" s="58"/>
      <c r="E931" s="58"/>
      <c r="F931" s="58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</row>
    <row r="932">
      <c r="A932" s="58"/>
      <c r="B932" s="58"/>
      <c r="C932" s="58"/>
      <c r="D932" s="58"/>
      <c r="E932" s="58"/>
      <c r="F932" s="58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</row>
    <row r="933">
      <c r="A933" s="58"/>
      <c r="B933" s="58"/>
      <c r="C933" s="58"/>
      <c r="D933" s="58"/>
      <c r="E933" s="58"/>
      <c r="F933" s="58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</row>
    <row r="934">
      <c r="A934" s="58"/>
      <c r="B934" s="58"/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</row>
    <row r="935">
      <c r="A935" s="58"/>
      <c r="B935" s="58"/>
      <c r="C935" s="58"/>
      <c r="D935" s="58"/>
      <c r="E935" s="58"/>
      <c r="F935" s="58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</row>
    <row r="936">
      <c r="A936" s="58"/>
      <c r="B936" s="58"/>
      <c r="C936" s="58"/>
      <c r="D936" s="58"/>
      <c r="E936" s="58"/>
      <c r="F936" s="58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</row>
    <row r="937">
      <c r="A937" s="58"/>
      <c r="B937" s="58"/>
      <c r="C937" s="58"/>
      <c r="D937" s="58"/>
      <c r="E937" s="58"/>
      <c r="F937" s="58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</row>
    <row r="938">
      <c r="A938" s="58"/>
      <c r="B938" s="58"/>
      <c r="C938" s="58"/>
      <c r="D938" s="58"/>
      <c r="E938" s="58"/>
      <c r="F938" s="58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</row>
    <row r="939">
      <c r="A939" s="58"/>
      <c r="B939" s="58"/>
      <c r="C939" s="58"/>
      <c r="D939" s="58"/>
      <c r="E939" s="58"/>
      <c r="F939" s="58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</row>
    <row r="940">
      <c r="A940" s="58"/>
      <c r="B940" s="58"/>
      <c r="C940" s="58"/>
      <c r="D940" s="58"/>
      <c r="E940" s="58"/>
      <c r="F940" s="58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</row>
    <row r="941">
      <c r="A941" s="58"/>
      <c r="B941" s="58"/>
      <c r="C941" s="58"/>
      <c r="D941" s="58"/>
      <c r="E941" s="58"/>
      <c r="F941" s="58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</row>
    <row r="942">
      <c r="A942" s="58"/>
      <c r="B942" s="58"/>
      <c r="C942" s="58"/>
      <c r="D942" s="58"/>
      <c r="E942" s="58"/>
      <c r="F942" s="58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</row>
    <row r="943">
      <c r="A943" s="58"/>
      <c r="B943" s="58"/>
      <c r="C943" s="58"/>
      <c r="D943" s="58"/>
      <c r="E943" s="58"/>
      <c r="F943" s="58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</row>
    <row r="944">
      <c r="A944" s="58"/>
      <c r="B944" s="58"/>
      <c r="C944" s="58"/>
      <c r="D944" s="58"/>
      <c r="E944" s="58"/>
      <c r="F944" s="58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</row>
    <row r="945">
      <c r="A945" s="58"/>
      <c r="B945" s="58"/>
      <c r="C945" s="58"/>
      <c r="D945" s="58"/>
      <c r="E945" s="58"/>
      <c r="F945" s="58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</row>
    <row r="946">
      <c r="A946" s="58"/>
      <c r="B946" s="58"/>
      <c r="C946" s="58"/>
      <c r="D946" s="58"/>
      <c r="E946" s="58"/>
      <c r="F946" s="58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</row>
    <row r="947">
      <c r="A947" s="58"/>
      <c r="B947" s="58"/>
      <c r="C947" s="58"/>
      <c r="D947" s="58"/>
      <c r="E947" s="58"/>
      <c r="F947" s="58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</row>
    <row r="948">
      <c r="A948" s="58"/>
      <c r="B948" s="58"/>
      <c r="C948" s="58"/>
      <c r="D948" s="58"/>
      <c r="E948" s="58"/>
      <c r="F948" s="58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</row>
    <row r="949">
      <c r="A949" s="58"/>
      <c r="B949" s="58"/>
      <c r="C949" s="58"/>
      <c r="D949" s="58"/>
      <c r="E949" s="58"/>
      <c r="F949" s="58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</row>
    <row r="950">
      <c r="A950" s="58"/>
      <c r="B950" s="58"/>
      <c r="C950" s="58"/>
      <c r="D950" s="58"/>
      <c r="E950" s="58"/>
      <c r="F950" s="58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</row>
    <row r="951">
      <c r="A951" s="58"/>
      <c r="B951" s="58"/>
      <c r="C951" s="58"/>
      <c r="D951" s="58"/>
      <c r="E951" s="58"/>
      <c r="F951" s="58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</row>
    <row r="952">
      <c r="A952" s="58"/>
      <c r="B952" s="58"/>
      <c r="C952" s="58"/>
      <c r="D952" s="58"/>
      <c r="E952" s="58"/>
      <c r="F952" s="58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</row>
    <row r="953">
      <c r="A953" s="58"/>
      <c r="B953" s="58"/>
      <c r="C953" s="58"/>
      <c r="D953" s="58"/>
      <c r="E953" s="58"/>
      <c r="F953" s="58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</row>
    <row r="954">
      <c r="A954" s="58"/>
      <c r="B954" s="58"/>
      <c r="C954" s="58"/>
      <c r="D954" s="58"/>
      <c r="E954" s="58"/>
      <c r="F954" s="58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</row>
    <row r="955">
      <c r="A955" s="58"/>
      <c r="B955" s="58"/>
      <c r="C955" s="58"/>
      <c r="D955" s="58"/>
      <c r="E955" s="58"/>
      <c r="F955" s="58"/>
      <c r="G955" s="58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</row>
    <row r="956">
      <c r="A956" s="58"/>
      <c r="B956" s="58"/>
      <c r="C956" s="58"/>
      <c r="D956" s="58"/>
      <c r="E956" s="58"/>
      <c r="F956" s="58"/>
      <c r="G956" s="58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</row>
    <row r="957">
      <c r="A957" s="58"/>
      <c r="B957" s="58"/>
      <c r="C957" s="58"/>
      <c r="D957" s="58"/>
      <c r="E957" s="58"/>
      <c r="F957" s="58"/>
      <c r="G957" s="58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</row>
    <row r="958">
      <c r="A958" s="58"/>
      <c r="B958" s="58"/>
      <c r="C958" s="58"/>
      <c r="D958" s="58"/>
      <c r="E958" s="58"/>
      <c r="F958" s="58"/>
      <c r="G958" s="58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</row>
    <row r="959">
      <c r="A959" s="58"/>
      <c r="B959" s="58"/>
      <c r="C959" s="58"/>
      <c r="D959" s="58"/>
      <c r="E959" s="58"/>
      <c r="F959" s="58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</row>
    <row r="960">
      <c r="A960" s="58"/>
      <c r="B960" s="58"/>
      <c r="C960" s="58"/>
      <c r="D960" s="58"/>
      <c r="E960" s="58"/>
      <c r="F960" s="58"/>
      <c r="G960" s="58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</row>
    <row r="961">
      <c r="A961" s="58"/>
      <c r="B961" s="58"/>
      <c r="C961" s="58"/>
      <c r="D961" s="58"/>
      <c r="E961" s="58"/>
      <c r="F961" s="58"/>
      <c r="G961" s="58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</row>
    <row r="962">
      <c r="A962" s="58"/>
      <c r="B962" s="58"/>
      <c r="C962" s="58"/>
      <c r="D962" s="58"/>
      <c r="E962" s="58"/>
      <c r="F962" s="58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</row>
    <row r="963">
      <c r="A963" s="58"/>
      <c r="B963" s="58"/>
      <c r="C963" s="58"/>
      <c r="D963" s="58"/>
      <c r="E963" s="58"/>
      <c r="F963" s="58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</row>
    <row r="964">
      <c r="A964" s="58"/>
      <c r="B964" s="58"/>
      <c r="C964" s="58"/>
      <c r="D964" s="58"/>
      <c r="E964" s="58"/>
      <c r="F964" s="58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</row>
    <row r="965">
      <c r="A965" s="58"/>
      <c r="B965" s="58"/>
      <c r="C965" s="58"/>
      <c r="D965" s="58"/>
      <c r="E965" s="58"/>
      <c r="F965" s="58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</row>
    <row r="966">
      <c r="A966" s="58"/>
      <c r="B966" s="58"/>
      <c r="C966" s="58"/>
      <c r="D966" s="58"/>
      <c r="E966" s="58"/>
      <c r="F966" s="58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</row>
    <row r="967">
      <c r="A967" s="58"/>
      <c r="B967" s="58"/>
      <c r="C967" s="58"/>
      <c r="D967" s="58"/>
      <c r="E967" s="58"/>
      <c r="F967" s="58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</row>
    <row r="968">
      <c r="A968" s="58"/>
      <c r="B968" s="58"/>
      <c r="C968" s="58"/>
      <c r="D968" s="58"/>
      <c r="E968" s="58"/>
      <c r="F968" s="58"/>
      <c r="G968" s="58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</row>
    <row r="969">
      <c r="A969" s="58"/>
      <c r="B969" s="58"/>
      <c r="C969" s="58"/>
      <c r="D969" s="58"/>
      <c r="E969" s="58"/>
      <c r="F969" s="58"/>
      <c r="G969" s="58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</row>
    <row r="970">
      <c r="A970" s="58"/>
      <c r="B970" s="58"/>
      <c r="C970" s="58"/>
      <c r="D970" s="58"/>
      <c r="E970" s="58"/>
      <c r="F970" s="58"/>
      <c r="G970" s="58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</row>
    <row r="971">
      <c r="A971" s="58"/>
      <c r="B971" s="58"/>
      <c r="C971" s="58"/>
      <c r="D971" s="58"/>
      <c r="E971" s="58"/>
      <c r="F971" s="58"/>
      <c r="G971" s="58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</row>
    <row r="972">
      <c r="A972" s="58"/>
      <c r="B972" s="58"/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</row>
    <row r="973">
      <c r="A973" s="58"/>
      <c r="B973" s="58"/>
      <c r="C973" s="58"/>
      <c r="D973" s="58"/>
      <c r="E973" s="58"/>
      <c r="F973" s="58"/>
      <c r="G973" s="58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</row>
    <row r="974">
      <c r="A974" s="58"/>
      <c r="B974" s="58"/>
      <c r="C974" s="58"/>
      <c r="D974" s="58"/>
      <c r="E974" s="58"/>
      <c r="F974" s="58"/>
      <c r="G974" s="58"/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</row>
    <row r="975">
      <c r="A975" s="58"/>
      <c r="B975" s="58"/>
      <c r="C975" s="58"/>
      <c r="D975" s="58"/>
      <c r="E975" s="58"/>
      <c r="F975" s="58"/>
      <c r="G975" s="58"/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</row>
    <row r="976">
      <c r="A976" s="58"/>
      <c r="B976" s="58"/>
      <c r="C976" s="58"/>
      <c r="D976" s="58"/>
      <c r="E976" s="58"/>
      <c r="F976" s="58"/>
      <c r="G976" s="58"/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</row>
    <row r="977">
      <c r="A977" s="58"/>
      <c r="B977" s="58"/>
      <c r="C977" s="58"/>
      <c r="D977" s="58"/>
      <c r="E977" s="58"/>
      <c r="F977" s="58"/>
      <c r="G977" s="58"/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</row>
    <row r="978">
      <c r="A978" s="58"/>
      <c r="B978" s="58"/>
      <c r="C978" s="58"/>
      <c r="D978" s="58"/>
      <c r="E978" s="58"/>
      <c r="F978" s="58"/>
      <c r="G978" s="58"/>
      <c r="H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</row>
    <row r="979">
      <c r="A979" s="58"/>
      <c r="B979" s="58"/>
      <c r="C979" s="58"/>
      <c r="D979" s="58"/>
      <c r="E979" s="58"/>
      <c r="F979" s="58"/>
      <c r="G979" s="58"/>
      <c r="H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</row>
    <row r="980">
      <c r="A980" s="58"/>
      <c r="B980" s="58"/>
      <c r="C980" s="58"/>
      <c r="D980" s="58"/>
      <c r="E980" s="58"/>
      <c r="F980" s="58"/>
      <c r="G980" s="58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</row>
    <row r="981">
      <c r="A981" s="58"/>
      <c r="B981" s="58"/>
      <c r="C981" s="58"/>
      <c r="D981" s="58"/>
      <c r="E981" s="58"/>
      <c r="F981" s="58"/>
      <c r="G981" s="58"/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</row>
    <row r="982">
      <c r="A982" s="58"/>
      <c r="B982" s="58"/>
      <c r="C982" s="58"/>
      <c r="D982" s="58"/>
      <c r="E982" s="58"/>
      <c r="F982" s="58"/>
      <c r="G982" s="58"/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</row>
    <row r="983">
      <c r="A983" s="58"/>
      <c r="B983" s="58"/>
      <c r="C983" s="58"/>
      <c r="D983" s="58"/>
      <c r="E983" s="58"/>
      <c r="F983" s="58"/>
      <c r="G983" s="58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</row>
    <row r="984">
      <c r="A984" s="58"/>
      <c r="B984" s="58"/>
      <c r="C984" s="58"/>
      <c r="D984" s="58"/>
      <c r="E984" s="58"/>
      <c r="F984" s="58"/>
      <c r="G984" s="58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</row>
    <row r="985">
      <c r="A985" s="58"/>
      <c r="B985" s="58"/>
      <c r="C985" s="58"/>
      <c r="D985" s="58"/>
      <c r="E985" s="58"/>
      <c r="F985" s="58"/>
      <c r="G985" s="58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</row>
    <row r="986">
      <c r="A986" s="58"/>
      <c r="B986" s="58"/>
      <c r="C986" s="58"/>
      <c r="D986" s="58"/>
      <c r="E986" s="58"/>
      <c r="F986" s="58"/>
      <c r="G986" s="58"/>
      <c r="H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</row>
    <row r="987">
      <c r="A987" s="58"/>
      <c r="B987" s="58"/>
      <c r="C987" s="58"/>
      <c r="D987" s="58"/>
      <c r="E987" s="58"/>
      <c r="F987" s="58"/>
      <c r="G987" s="58"/>
      <c r="H987" s="58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</row>
    <row r="988">
      <c r="A988" s="58"/>
      <c r="B988" s="58"/>
      <c r="C988" s="58"/>
      <c r="D988" s="58"/>
      <c r="E988" s="58"/>
      <c r="F988" s="58"/>
      <c r="G988" s="58"/>
      <c r="H988" s="58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</row>
    <row r="989">
      <c r="A989" s="58"/>
      <c r="B989" s="58"/>
      <c r="C989" s="58"/>
      <c r="D989" s="58"/>
      <c r="E989" s="58"/>
      <c r="F989" s="58"/>
      <c r="G989" s="58"/>
      <c r="H989" s="58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</row>
    <row r="990">
      <c r="A990" s="58"/>
      <c r="B990" s="58"/>
      <c r="C990" s="58"/>
      <c r="D990" s="58"/>
      <c r="E990" s="58"/>
      <c r="F990" s="58"/>
      <c r="G990" s="58"/>
      <c r="H990" s="58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</row>
    <row r="991">
      <c r="A991" s="58"/>
      <c r="B991" s="58"/>
      <c r="C991" s="58"/>
      <c r="D991" s="58"/>
      <c r="E991" s="58"/>
      <c r="F991" s="58"/>
      <c r="G991" s="58"/>
      <c r="H991" s="58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</row>
    <row r="992">
      <c r="A992" s="58"/>
      <c r="B992" s="58"/>
      <c r="C992" s="58"/>
      <c r="D992" s="58"/>
      <c r="E992" s="58"/>
      <c r="F992" s="58"/>
      <c r="G992" s="58"/>
      <c r="H992" s="58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</row>
    <row r="993">
      <c r="A993" s="58"/>
      <c r="B993" s="58"/>
      <c r="C993" s="58"/>
      <c r="D993" s="58"/>
      <c r="E993" s="58"/>
      <c r="F993" s="58"/>
      <c r="G993" s="58"/>
      <c r="H993" s="58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</row>
    <row r="994">
      <c r="A994" s="58"/>
      <c r="B994" s="58"/>
      <c r="C994" s="58"/>
      <c r="D994" s="58"/>
      <c r="E994" s="58"/>
      <c r="F994" s="58"/>
      <c r="G994" s="58"/>
      <c r="H994" s="58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</row>
    <row r="995">
      <c r="A995" s="58"/>
      <c r="B995" s="58"/>
      <c r="C995" s="58"/>
      <c r="D995" s="58"/>
      <c r="E995" s="58"/>
      <c r="F995" s="58"/>
      <c r="G995" s="58"/>
      <c r="H995" s="58"/>
      <c r="I995" s="58"/>
      <c r="J995" s="58"/>
      <c r="K995" s="58"/>
      <c r="L995" s="58"/>
      <c r="M995" s="58"/>
      <c r="N995" s="58"/>
      <c r="O995" s="58"/>
      <c r="P995" s="58"/>
      <c r="Q995" s="58"/>
      <c r="R995" s="58"/>
      <c r="S995" s="58"/>
    </row>
    <row r="996">
      <c r="A996" s="58"/>
      <c r="B996" s="58"/>
      <c r="C996" s="58"/>
      <c r="D996" s="58"/>
      <c r="E996" s="58"/>
      <c r="F996" s="58"/>
      <c r="G996" s="58"/>
      <c r="H996" s="58"/>
      <c r="I996" s="58"/>
      <c r="J996" s="58"/>
      <c r="K996" s="58"/>
      <c r="L996" s="58"/>
      <c r="M996" s="58"/>
      <c r="N996" s="58"/>
      <c r="O996" s="58"/>
      <c r="P996" s="58"/>
      <c r="Q996" s="58"/>
      <c r="R996" s="58"/>
      <c r="S996" s="58"/>
    </row>
    <row r="997">
      <c r="A997" s="58"/>
      <c r="B997" s="58"/>
      <c r="C997" s="58"/>
      <c r="D997" s="58"/>
      <c r="E997" s="58"/>
      <c r="F997" s="58"/>
      <c r="G997" s="58"/>
      <c r="H997" s="58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</row>
    <row r="998">
      <c r="A998" s="58"/>
      <c r="B998" s="58"/>
      <c r="C998" s="58"/>
      <c r="D998" s="58"/>
      <c r="E998" s="58"/>
      <c r="F998" s="58"/>
      <c r="G998" s="58"/>
      <c r="H998" s="58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</row>
    <row r="999">
      <c r="A999" s="58"/>
      <c r="B999" s="58"/>
      <c r="C999" s="58"/>
      <c r="D999" s="58"/>
      <c r="E999" s="58"/>
      <c r="F999" s="58"/>
      <c r="G999" s="58"/>
      <c r="H999" s="58"/>
      <c r="I999" s="58"/>
      <c r="J999" s="58"/>
      <c r="K999" s="58"/>
      <c r="L999" s="58"/>
      <c r="M999" s="58"/>
      <c r="N999" s="58"/>
      <c r="O999" s="58"/>
      <c r="P999" s="58"/>
      <c r="Q999" s="58"/>
      <c r="R999" s="58"/>
      <c r="S999" s="58"/>
    </row>
    <row r="1000">
      <c r="A1000" s="58"/>
      <c r="B1000" s="58"/>
      <c r="C1000" s="58"/>
      <c r="D1000" s="58"/>
      <c r="E1000" s="58"/>
      <c r="F1000" s="58"/>
      <c r="G1000" s="58"/>
      <c r="H1000" s="58"/>
      <c r="I1000" s="58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</row>
    <row r="1001">
      <c r="A1001" s="58"/>
      <c r="B1001" s="58"/>
      <c r="C1001" s="58"/>
      <c r="D1001" s="58"/>
      <c r="E1001" s="58"/>
      <c r="F1001" s="58"/>
      <c r="G1001" s="58"/>
      <c r="H1001" s="58"/>
      <c r="I1001" s="58"/>
      <c r="J1001" s="58"/>
      <c r="K1001" s="58"/>
      <c r="L1001" s="58"/>
      <c r="M1001" s="58"/>
      <c r="N1001" s="58"/>
      <c r="O1001" s="58"/>
      <c r="P1001" s="58"/>
      <c r="Q1001" s="58"/>
      <c r="R1001" s="58"/>
      <c r="S1001" s="58"/>
    </row>
    <row r="1002">
      <c r="A1002" s="58"/>
      <c r="B1002" s="58"/>
      <c r="C1002" s="58"/>
      <c r="D1002" s="58"/>
      <c r="E1002" s="58"/>
      <c r="F1002" s="58"/>
      <c r="G1002" s="58"/>
      <c r="H1002" s="58"/>
      <c r="I1002" s="58"/>
      <c r="J1002" s="58"/>
      <c r="K1002" s="58"/>
      <c r="L1002" s="58"/>
      <c r="M1002" s="58"/>
      <c r="N1002" s="58"/>
      <c r="O1002" s="58"/>
      <c r="P1002" s="58"/>
      <c r="Q1002" s="58"/>
      <c r="R1002" s="58"/>
      <c r="S1002" s="58"/>
    </row>
    <row r="1003">
      <c r="A1003" s="58"/>
      <c r="B1003" s="58"/>
      <c r="C1003" s="58"/>
      <c r="D1003" s="58"/>
      <c r="E1003" s="58"/>
      <c r="F1003" s="58"/>
      <c r="G1003" s="58"/>
      <c r="H1003" s="58"/>
      <c r="I1003" s="58"/>
      <c r="J1003" s="58"/>
      <c r="K1003" s="58"/>
      <c r="L1003" s="58"/>
      <c r="M1003" s="58"/>
      <c r="N1003" s="58"/>
      <c r="O1003" s="58"/>
      <c r="P1003" s="58"/>
      <c r="Q1003" s="58"/>
      <c r="R1003" s="58"/>
      <c r="S1003" s="58"/>
    </row>
    <row r="1004">
      <c r="A1004" s="58"/>
      <c r="B1004" s="58"/>
      <c r="C1004" s="58"/>
      <c r="D1004" s="58"/>
      <c r="E1004" s="58"/>
      <c r="F1004" s="58"/>
      <c r="G1004" s="58"/>
      <c r="H1004" s="58"/>
      <c r="I1004" s="58"/>
      <c r="J1004" s="58"/>
      <c r="K1004" s="58"/>
      <c r="L1004" s="58"/>
      <c r="M1004" s="58"/>
      <c r="N1004" s="58"/>
      <c r="O1004" s="58"/>
      <c r="P1004" s="58"/>
      <c r="Q1004" s="58"/>
      <c r="R1004" s="58"/>
      <c r="S1004" s="58"/>
    </row>
    <row r="1005">
      <c r="A1005" s="58"/>
      <c r="B1005" s="58"/>
      <c r="C1005" s="58"/>
      <c r="D1005" s="58"/>
      <c r="E1005" s="58"/>
      <c r="F1005" s="58"/>
      <c r="G1005" s="58"/>
      <c r="H1005" s="58"/>
      <c r="I1005" s="58"/>
      <c r="J1005" s="58"/>
      <c r="K1005" s="58"/>
      <c r="L1005" s="58"/>
      <c r="M1005" s="58"/>
      <c r="N1005" s="58"/>
      <c r="O1005" s="58"/>
      <c r="P1005" s="58"/>
      <c r="Q1005" s="58"/>
      <c r="R1005" s="58"/>
      <c r="S1005" s="5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3" max="3" width="19.38"/>
  </cols>
  <sheetData>
    <row r="1">
      <c r="A1" s="63" t="s">
        <v>123</v>
      </c>
      <c r="B1" s="63" t="s">
        <v>124</v>
      </c>
      <c r="C1" s="64" t="s">
        <v>125</v>
      </c>
      <c r="D1" s="63" t="s">
        <v>126</v>
      </c>
      <c r="E1" s="65">
        <v>45912.0</v>
      </c>
      <c r="F1" s="65">
        <v>45919.0</v>
      </c>
      <c r="G1" s="65">
        <v>45926.0</v>
      </c>
      <c r="H1" s="65">
        <v>45933.0</v>
      </c>
      <c r="I1" s="65">
        <v>45940.0</v>
      </c>
      <c r="J1" s="65">
        <v>45947.0</v>
      </c>
      <c r="K1" s="65">
        <v>45954.0</v>
      </c>
      <c r="L1" s="65">
        <v>45961.0</v>
      </c>
      <c r="M1" s="65">
        <v>45968.0</v>
      </c>
      <c r="N1" s="65">
        <v>45975.0</v>
      </c>
      <c r="O1" s="65">
        <v>45982.0</v>
      </c>
      <c r="P1" s="65">
        <v>45989.0</v>
      </c>
      <c r="Q1" s="65">
        <v>45996.0</v>
      </c>
      <c r="R1" s="65">
        <v>46003.0</v>
      </c>
      <c r="S1" s="65">
        <v>46010.0</v>
      </c>
      <c r="T1" s="65">
        <v>46017.0</v>
      </c>
      <c r="U1" s="65">
        <v>46024.0</v>
      </c>
      <c r="V1" s="65">
        <v>46031.0</v>
      </c>
      <c r="W1" s="65">
        <v>46038.0</v>
      </c>
      <c r="X1" s="65">
        <v>46045.0</v>
      </c>
      <c r="Y1" s="65">
        <v>46052.0</v>
      </c>
      <c r="Z1" s="65">
        <v>46059.0</v>
      </c>
      <c r="AA1" s="65">
        <v>46066.0</v>
      </c>
      <c r="AB1" s="65">
        <v>46073.0</v>
      </c>
      <c r="AC1" s="65">
        <v>46080.0</v>
      </c>
      <c r="AD1" s="65">
        <v>46087.0</v>
      </c>
      <c r="AE1" s="65">
        <v>46094.0</v>
      </c>
      <c r="AF1" s="65">
        <v>46101.0</v>
      </c>
      <c r="AG1" s="65">
        <v>46108.0</v>
      </c>
      <c r="AH1" s="65">
        <v>46115.0</v>
      </c>
      <c r="AI1" s="65">
        <v>46122.0</v>
      </c>
      <c r="AJ1" s="65">
        <v>46129.0</v>
      </c>
      <c r="AK1" s="65">
        <v>46136.0</v>
      </c>
      <c r="AL1" s="65">
        <v>46143.0</v>
      </c>
      <c r="AM1" s="65">
        <v>46150.0</v>
      </c>
    </row>
    <row r="2">
      <c r="A2" s="66" t="s">
        <v>127</v>
      </c>
      <c r="B2" s="66" t="s">
        <v>128</v>
      </c>
      <c r="C2" s="66"/>
      <c r="D2" s="66"/>
      <c r="E2" s="67">
        <v>2250.0</v>
      </c>
      <c r="F2" s="67">
        <v>2250.0</v>
      </c>
      <c r="G2" s="67">
        <v>2250.0</v>
      </c>
      <c r="H2" s="67">
        <v>2250.0</v>
      </c>
      <c r="I2" s="67">
        <v>2250.0</v>
      </c>
      <c r="J2" s="67">
        <v>2250.0</v>
      </c>
      <c r="K2" s="67">
        <v>2250.0</v>
      </c>
      <c r="L2" s="67">
        <v>2250.0</v>
      </c>
      <c r="M2" s="67">
        <v>2250.0</v>
      </c>
      <c r="N2" s="67">
        <v>2250.0</v>
      </c>
      <c r="O2" s="67">
        <v>2250.0</v>
      </c>
      <c r="P2" s="67">
        <v>2250.0</v>
      </c>
      <c r="Q2" s="67">
        <v>2250.0</v>
      </c>
      <c r="R2" s="67">
        <v>2250.0</v>
      </c>
      <c r="S2" s="67">
        <v>2250.0</v>
      </c>
      <c r="T2" s="67">
        <v>2250.0</v>
      </c>
      <c r="U2" s="67">
        <v>2250.0</v>
      </c>
      <c r="V2" s="67">
        <v>2250.0</v>
      </c>
      <c r="W2" s="67">
        <v>2250.0</v>
      </c>
      <c r="X2" s="67">
        <v>2250.0</v>
      </c>
      <c r="Y2" s="67">
        <v>2250.0</v>
      </c>
      <c r="Z2" s="67">
        <v>2250.0</v>
      </c>
      <c r="AA2" s="67">
        <v>2250.0</v>
      </c>
      <c r="AB2" s="67">
        <v>2250.0</v>
      </c>
      <c r="AC2" s="67">
        <v>2250.0</v>
      </c>
      <c r="AD2" s="67">
        <v>2250.0</v>
      </c>
      <c r="AE2" s="67">
        <v>2250.0</v>
      </c>
      <c r="AF2" s="67">
        <v>2250.0</v>
      </c>
      <c r="AG2" s="67">
        <v>2250.0</v>
      </c>
      <c r="AH2" s="67">
        <v>2250.0</v>
      </c>
      <c r="AI2" s="67">
        <v>2250.0</v>
      </c>
      <c r="AJ2" s="67">
        <v>2250.0</v>
      </c>
      <c r="AK2" s="67">
        <v>2250.0</v>
      </c>
      <c r="AL2" s="67">
        <v>2250.0</v>
      </c>
      <c r="AM2" s="67">
        <v>2250.0</v>
      </c>
    </row>
    <row r="3">
      <c r="A3" s="66" t="s">
        <v>129</v>
      </c>
      <c r="B3" s="66" t="s">
        <v>130</v>
      </c>
      <c r="C3" s="66"/>
      <c r="D3" s="66" t="s">
        <v>131</v>
      </c>
      <c r="E3" s="67">
        <v>1687.78</v>
      </c>
      <c r="F3" s="67">
        <v>1688.78</v>
      </c>
      <c r="G3" s="67">
        <v>1688.78</v>
      </c>
      <c r="H3" s="67">
        <v>1688.78</v>
      </c>
      <c r="I3" s="67">
        <v>1688.78</v>
      </c>
      <c r="J3" s="67">
        <v>1688.78</v>
      </c>
      <c r="K3" s="67">
        <v>1688.78</v>
      </c>
      <c r="L3" s="67">
        <v>1687.6</v>
      </c>
      <c r="M3" s="67">
        <v>1688.78</v>
      </c>
      <c r="N3" s="67">
        <v>1688.78</v>
      </c>
      <c r="O3" s="67">
        <v>1688.78</v>
      </c>
      <c r="P3" s="67">
        <v>1688.78</v>
      </c>
      <c r="Q3" s="67">
        <v>1688.78</v>
      </c>
      <c r="R3" s="67">
        <v>1688.78</v>
      </c>
      <c r="S3" s="67">
        <v>1688.78</v>
      </c>
      <c r="T3" s="67">
        <v>1688.78</v>
      </c>
      <c r="U3" s="67">
        <v>1688.78</v>
      </c>
      <c r="V3" s="67">
        <v>1688.78</v>
      </c>
      <c r="W3" s="67">
        <v>1688.78</v>
      </c>
      <c r="X3" s="67">
        <v>1688.78</v>
      </c>
      <c r="Y3" s="67">
        <v>1688.78</v>
      </c>
      <c r="Z3" s="67">
        <v>1688.78</v>
      </c>
      <c r="AA3" s="67">
        <v>1688.78</v>
      </c>
      <c r="AB3" s="67">
        <v>1688.78</v>
      </c>
      <c r="AC3" s="67">
        <v>1688.78</v>
      </c>
      <c r="AD3" s="67">
        <v>1688.78</v>
      </c>
      <c r="AE3" s="67">
        <v>1688.78</v>
      </c>
      <c r="AF3" s="67">
        <v>1688.78</v>
      </c>
      <c r="AG3" s="67">
        <v>1688.78</v>
      </c>
      <c r="AH3" s="67">
        <v>1688.78</v>
      </c>
      <c r="AI3" s="67">
        <v>1688.78</v>
      </c>
      <c r="AJ3" s="67">
        <v>1688.78</v>
      </c>
      <c r="AK3" s="67">
        <v>1688.78</v>
      </c>
      <c r="AL3" s="67">
        <v>1688.78</v>
      </c>
      <c r="AM3" s="67">
        <v>1688.78</v>
      </c>
    </row>
    <row r="4">
      <c r="A4" s="66" t="s">
        <v>132</v>
      </c>
      <c r="B4" s="66" t="s">
        <v>133</v>
      </c>
      <c r="C4" s="66"/>
      <c r="D4" s="68"/>
      <c r="E4" s="68"/>
      <c r="F4" s="67">
        <v>1912.51</v>
      </c>
      <c r="G4" s="67">
        <v>1912.51</v>
      </c>
      <c r="H4" s="67">
        <v>1912.51</v>
      </c>
      <c r="I4" s="67">
        <v>1912.51</v>
      </c>
      <c r="J4" s="67">
        <v>1912.51</v>
      </c>
      <c r="K4" s="67">
        <v>1912.51</v>
      </c>
      <c r="L4" s="67">
        <f>320+1912.51</f>
        <v>2232.51</v>
      </c>
      <c r="M4" s="67">
        <v>1912.51</v>
      </c>
      <c r="N4" s="67">
        <v>1912.51</v>
      </c>
      <c r="O4" s="67">
        <v>1912.51</v>
      </c>
      <c r="P4" s="67">
        <v>1912.51</v>
      </c>
      <c r="Q4" s="67">
        <v>1912.51</v>
      </c>
      <c r="R4" s="67">
        <v>1912.51</v>
      </c>
      <c r="S4" s="67">
        <v>1912.51</v>
      </c>
      <c r="T4" s="67">
        <v>1912.51</v>
      </c>
      <c r="U4" s="67">
        <v>1912.51</v>
      </c>
      <c r="V4" s="67">
        <v>1912.51</v>
      </c>
      <c r="W4" s="67">
        <v>1912.51</v>
      </c>
      <c r="X4" s="67">
        <v>1912.51</v>
      </c>
      <c r="Y4" s="67">
        <v>1912.51</v>
      </c>
      <c r="Z4" s="67">
        <v>1912.51</v>
      </c>
      <c r="AA4" s="67">
        <v>1912.51</v>
      </c>
      <c r="AB4" s="67">
        <v>1912.51</v>
      </c>
      <c r="AC4" s="67">
        <v>1912.51</v>
      </c>
      <c r="AD4" s="67">
        <v>1912.51</v>
      </c>
      <c r="AE4" s="67">
        <v>1912.51</v>
      </c>
      <c r="AF4" s="67">
        <v>1912.51</v>
      </c>
      <c r="AG4" s="67">
        <v>1912.51</v>
      </c>
      <c r="AH4" s="67">
        <v>1912.51</v>
      </c>
      <c r="AI4" s="67">
        <v>1912.51</v>
      </c>
      <c r="AJ4" s="67">
        <v>1912.51</v>
      </c>
      <c r="AK4" s="67">
        <v>1912.51</v>
      </c>
      <c r="AL4" s="67">
        <v>1912.51</v>
      </c>
      <c r="AM4" s="67">
        <v>1912.51</v>
      </c>
    </row>
    <row r="5">
      <c r="A5" s="66" t="s">
        <v>134</v>
      </c>
      <c r="B5" s="66" t="s">
        <v>135</v>
      </c>
      <c r="C5" s="66"/>
      <c r="D5" s="66"/>
      <c r="E5" s="67">
        <v>1350.18</v>
      </c>
      <c r="F5" s="67">
        <v>1350.18</v>
      </c>
      <c r="G5" s="67">
        <v>1350.18</v>
      </c>
      <c r="H5" s="67">
        <v>1350.18</v>
      </c>
      <c r="I5" s="67">
        <v>1350.18</v>
      </c>
      <c r="J5" s="67">
        <v>1350.18</v>
      </c>
      <c r="K5" s="67">
        <v>1350.18</v>
      </c>
      <c r="L5" s="67">
        <v>1350.18</v>
      </c>
      <c r="M5" s="67">
        <v>1350.18</v>
      </c>
      <c r="N5" s="67">
        <v>1350.18</v>
      </c>
      <c r="O5" s="67">
        <v>1350.18</v>
      </c>
      <c r="P5" s="67">
        <v>1350.18</v>
      </c>
      <c r="Q5" s="67">
        <v>1350.18</v>
      </c>
      <c r="R5" s="67">
        <v>1350.18</v>
      </c>
      <c r="S5" s="67">
        <v>1350.18</v>
      </c>
      <c r="T5" s="67">
        <v>1350.18</v>
      </c>
      <c r="U5" s="67">
        <v>1350.18</v>
      </c>
      <c r="V5" s="67">
        <v>1350.18</v>
      </c>
      <c r="W5" s="67">
        <v>1350.18</v>
      </c>
      <c r="X5" s="67">
        <v>1350.18</v>
      </c>
      <c r="Y5" s="67">
        <v>1350.18</v>
      </c>
      <c r="Z5" s="67">
        <v>1350.18</v>
      </c>
      <c r="AA5" s="67">
        <v>1350.18</v>
      </c>
      <c r="AB5" s="67">
        <v>1350.18</v>
      </c>
      <c r="AC5" s="67">
        <v>1350.18</v>
      </c>
      <c r="AD5" s="67">
        <v>1350.18</v>
      </c>
      <c r="AE5" s="67">
        <v>1350.18</v>
      </c>
      <c r="AF5" s="67">
        <v>1350.18</v>
      </c>
      <c r="AG5" s="67">
        <v>1350.18</v>
      </c>
      <c r="AH5" s="67">
        <v>1350.18</v>
      </c>
      <c r="AI5" s="67">
        <v>1350.18</v>
      </c>
      <c r="AJ5" s="67">
        <v>1350.18</v>
      </c>
      <c r="AK5" s="67">
        <v>1350.18</v>
      </c>
      <c r="AL5" s="67">
        <v>1350.18</v>
      </c>
      <c r="AM5" s="67">
        <v>1350.18</v>
      </c>
    </row>
    <row r="6">
      <c r="A6" s="66" t="s">
        <v>136</v>
      </c>
      <c r="B6" s="66" t="s">
        <v>137</v>
      </c>
      <c r="C6" s="66"/>
      <c r="D6" s="66" t="s">
        <v>131</v>
      </c>
      <c r="E6" s="67">
        <v>1800.18</v>
      </c>
      <c r="F6" s="67">
        <f>1801.18+211.34</f>
        <v>2012.52</v>
      </c>
      <c r="G6" s="67">
        <v>1801.18</v>
      </c>
      <c r="H6" s="67">
        <v>1801.18</v>
      </c>
      <c r="I6" s="67">
        <v>1801.18</v>
      </c>
      <c r="J6" s="67">
        <v>1801.18</v>
      </c>
      <c r="K6" s="67">
        <v>1801.18</v>
      </c>
      <c r="L6" s="67">
        <v>1800.0</v>
      </c>
      <c r="M6" s="67">
        <v>1801.18</v>
      </c>
      <c r="N6" s="67">
        <v>1801.18</v>
      </c>
      <c r="O6" s="67">
        <v>1801.18</v>
      </c>
      <c r="P6" s="67">
        <v>1801.18</v>
      </c>
      <c r="Q6" s="67">
        <v>1801.18</v>
      </c>
      <c r="R6" s="67">
        <v>1801.18</v>
      </c>
      <c r="S6" s="67">
        <v>1801.18</v>
      </c>
      <c r="T6" s="67">
        <v>1801.18</v>
      </c>
      <c r="U6" s="67">
        <v>1801.18</v>
      </c>
      <c r="V6" s="67">
        <v>1801.18</v>
      </c>
      <c r="W6" s="67">
        <v>1801.18</v>
      </c>
      <c r="X6" s="67">
        <v>1801.18</v>
      </c>
      <c r="Y6" s="67">
        <v>1801.18</v>
      </c>
      <c r="Z6" s="67">
        <v>1801.18</v>
      </c>
      <c r="AA6" s="67">
        <v>1801.18</v>
      </c>
      <c r="AB6" s="67">
        <v>1801.18</v>
      </c>
      <c r="AC6" s="67">
        <v>1801.18</v>
      </c>
      <c r="AD6" s="67">
        <v>1801.18</v>
      </c>
      <c r="AE6" s="67">
        <v>1801.18</v>
      </c>
      <c r="AF6" s="67">
        <v>1801.18</v>
      </c>
      <c r="AG6" s="67">
        <v>1801.18</v>
      </c>
      <c r="AH6" s="67">
        <v>1801.18</v>
      </c>
      <c r="AI6" s="67">
        <v>1801.18</v>
      </c>
      <c r="AJ6" s="67">
        <v>1801.18</v>
      </c>
      <c r="AK6" s="67">
        <v>1801.18</v>
      </c>
      <c r="AL6" s="67">
        <v>1801.18</v>
      </c>
      <c r="AM6" s="67">
        <v>1801.18</v>
      </c>
    </row>
    <row r="7">
      <c r="A7" s="66" t="s">
        <v>138</v>
      </c>
      <c r="B7" s="66" t="s">
        <v>139</v>
      </c>
      <c r="C7" s="66"/>
      <c r="D7" s="66"/>
      <c r="E7" s="68"/>
      <c r="F7" s="67">
        <v>1237.51</v>
      </c>
      <c r="G7" s="67">
        <v>1237.51</v>
      </c>
      <c r="H7" s="67">
        <v>1237.51</v>
      </c>
      <c r="I7" s="67">
        <v>1237.51</v>
      </c>
      <c r="J7" s="67">
        <v>1237.51</v>
      </c>
      <c r="K7" s="67">
        <v>1237.51</v>
      </c>
      <c r="L7" s="67">
        <v>1237.51</v>
      </c>
      <c r="M7" s="67">
        <v>1237.51</v>
      </c>
      <c r="N7" s="67">
        <v>1237.51</v>
      </c>
      <c r="O7" s="67">
        <v>1237.51</v>
      </c>
      <c r="P7" s="67">
        <v>1237.51</v>
      </c>
      <c r="Q7" s="67">
        <v>1237.51</v>
      </c>
      <c r="R7" s="67">
        <v>1237.51</v>
      </c>
      <c r="S7" s="67">
        <v>1237.51</v>
      </c>
      <c r="T7" s="67">
        <v>1237.51</v>
      </c>
      <c r="U7" s="67">
        <v>1237.51</v>
      </c>
      <c r="V7" s="67">
        <v>1237.51</v>
      </c>
      <c r="W7" s="67">
        <v>1237.51</v>
      </c>
      <c r="X7" s="67">
        <v>1237.51</v>
      </c>
      <c r="Y7" s="67">
        <v>1237.51</v>
      </c>
      <c r="Z7" s="67">
        <v>1237.51</v>
      </c>
      <c r="AA7" s="67">
        <v>1237.51</v>
      </c>
      <c r="AB7" s="67">
        <v>1237.51</v>
      </c>
      <c r="AC7" s="67">
        <v>1237.51</v>
      </c>
      <c r="AD7" s="67">
        <v>1237.51</v>
      </c>
      <c r="AE7" s="67">
        <v>1237.51</v>
      </c>
      <c r="AF7" s="67">
        <v>1237.51</v>
      </c>
      <c r="AG7" s="67">
        <v>1237.51</v>
      </c>
      <c r="AH7" s="67">
        <v>1237.51</v>
      </c>
      <c r="AI7" s="67">
        <v>1237.51</v>
      </c>
      <c r="AJ7" s="67">
        <v>1237.51</v>
      </c>
      <c r="AK7" s="67">
        <v>1237.51</v>
      </c>
      <c r="AL7" s="67">
        <v>1237.51</v>
      </c>
      <c r="AM7" s="67">
        <v>1237.51</v>
      </c>
    </row>
    <row r="8">
      <c r="A8" s="66" t="s">
        <v>140</v>
      </c>
      <c r="B8" s="66" t="s">
        <v>141</v>
      </c>
      <c r="C8" s="66"/>
      <c r="D8" s="66"/>
      <c r="E8" s="67">
        <v>1912.5</v>
      </c>
      <c r="F8" s="67">
        <v>1912.5</v>
      </c>
      <c r="G8" s="67">
        <v>1912.5</v>
      </c>
      <c r="H8" s="67">
        <v>1912.5</v>
      </c>
      <c r="I8" s="67">
        <v>1912.5</v>
      </c>
      <c r="J8" s="67">
        <v>1912.5</v>
      </c>
      <c r="K8" s="67">
        <v>1912.5</v>
      </c>
      <c r="L8" s="67">
        <v>765.0</v>
      </c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</row>
    <row r="9">
      <c r="A9" s="66" t="s">
        <v>142</v>
      </c>
      <c r="B9" s="66" t="s">
        <v>143</v>
      </c>
      <c r="C9" s="66"/>
      <c r="D9" s="68" t="s">
        <v>131</v>
      </c>
      <c r="E9" s="67">
        <v>1575.15</v>
      </c>
      <c r="F9" s="67">
        <v>1576.15</v>
      </c>
      <c r="G9" s="67">
        <v>1576.15</v>
      </c>
      <c r="H9" s="67">
        <v>1576.15</v>
      </c>
      <c r="I9" s="67">
        <v>1576.15</v>
      </c>
      <c r="J9" s="67">
        <v>1576.15</v>
      </c>
      <c r="K9" s="67">
        <v>1576.15</v>
      </c>
      <c r="L9" s="67">
        <v>1575.01</v>
      </c>
      <c r="M9" s="67">
        <v>1576.15</v>
      </c>
      <c r="N9" s="67">
        <v>1576.15</v>
      </c>
      <c r="O9" s="67">
        <v>1576.15</v>
      </c>
      <c r="P9" s="67">
        <v>1576.15</v>
      </c>
      <c r="Q9" s="67">
        <v>1576.15</v>
      </c>
      <c r="R9" s="67">
        <v>1576.15</v>
      </c>
      <c r="S9" s="67">
        <v>1576.15</v>
      </c>
      <c r="T9" s="67">
        <v>1576.15</v>
      </c>
      <c r="U9" s="67">
        <v>1576.15</v>
      </c>
      <c r="V9" s="67">
        <v>1576.15</v>
      </c>
      <c r="W9" s="67">
        <v>1576.15</v>
      </c>
      <c r="X9" s="67">
        <v>1576.15</v>
      </c>
      <c r="Y9" s="67">
        <v>1576.15</v>
      </c>
      <c r="Z9" s="67">
        <v>1576.15</v>
      </c>
      <c r="AA9" s="67">
        <v>1576.15</v>
      </c>
      <c r="AB9" s="67">
        <v>1576.15</v>
      </c>
      <c r="AC9" s="67">
        <v>1576.15</v>
      </c>
      <c r="AD9" s="67">
        <v>1576.15</v>
      </c>
      <c r="AE9" s="67">
        <v>1576.15</v>
      </c>
      <c r="AF9" s="67">
        <v>1576.15</v>
      </c>
      <c r="AG9" s="67">
        <v>1576.15</v>
      </c>
      <c r="AH9" s="67">
        <v>1576.15</v>
      </c>
      <c r="AI9" s="67">
        <v>1576.15</v>
      </c>
      <c r="AJ9" s="67">
        <v>1576.15</v>
      </c>
      <c r="AK9" s="67">
        <v>1576.15</v>
      </c>
      <c r="AL9" s="67">
        <v>1576.15</v>
      </c>
      <c r="AM9" s="67">
        <v>1576.15</v>
      </c>
    </row>
    <row r="10">
      <c r="A10" s="66" t="s">
        <v>144</v>
      </c>
      <c r="B10" s="66" t="s">
        <v>143</v>
      </c>
      <c r="C10" s="66"/>
      <c r="D10" s="68" t="s">
        <v>131</v>
      </c>
      <c r="E10" s="67">
        <v>1812.51</v>
      </c>
      <c r="F10" s="67">
        <v>1912.51</v>
      </c>
      <c r="G10" s="67">
        <v>1812.51</v>
      </c>
      <c r="H10" s="67">
        <v>1812.51</v>
      </c>
      <c r="I10" s="67">
        <v>1812.51</v>
      </c>
      <c r="J10" s="67">
        <v>1812.51</v>
      </c>
      <c r="K10" s="67">
        <v>1812.51</v>
      </c>
      <c r="L10" s="67">
        <v>1912.51</v>
      </c>
      <c r="M10" s="67">
        <v>1912.51</v>
      </c>
      <c r="N10" s="67">
        <v>1912.51</v>
      </c>
      <c r="O10" s="67">
        <v>1912.51</v>
      </c>
      <c r="P10" s="67">
        <v>1912.51</v>
      </c>
      <c r="Q10" s="67">
        <v>1912.51</v>
      </c>
      <c r="R10" s="67">
        <v>1912.51</v>
      </c>
      <c r="S10" s="67">
        <v>1912.51</v>
      </c>
      <c r="T10" s="67">
        <v>1912.51</v>
      </c>
      <c r="U10" s="67">
        <v>1912.51</v>
      </c>
      <c r="V10" s="67">
        <v>1912.51</v>
      </c>
      <c r="W10" s="67">
        <v>1912.51</v>
      </c>
      <c r="X10" s="67">
        <v>1912.51</v>
      </c>
      <c r="Y10" s="67">
        <v>1912.51</v>
      </c>
      <c r="Z10" s="67">
        <v>1912.51</v>
      </c>
      <c r="AA10" s="67">
        <v>1912.51</v>
      </c>
      <c r="AB10" s="67">
        <v>1912.51</v>
      </c>
      <c r="AC10" s="67">
        <v>1912.51</v>
      </c>
      <c r="AD10" s="67">
        <v>1912.51</v>
      </c>
      <c r="AE10" s="67">
        <v>1912.51</v>
      </c>
      <c r="AF10" s="67">
        <v>1912.51</v>
      </c>
      <c r="AG10" s="67">
        <v>1912.51</v>
      </c>
      <c r="AH10" s="67">
        <v>1912.51</v>
      </c>
      <c r="AI10" s="67">
        <v>1912.51</v>
      </c>
      <c r="AJ10" s="67">
        <v>1912.51</v>
      </c>
      <c r="AK10" s="67">
        <v>1912.51</v>
      </c>
      <c r="AL10" s="67">
        <v>1912.51</v>
      </c>
      <c r="AM10" s="67">
        <v>1912.51</v>
      </c>
    </row>
    <row r="11">
      <c r="A11" s="66" t="s">
        <v>145</v>
      </c>
      <c r="B11" s="66" t="s">
        <v>146</v>
      </c>
      <c r="C11" s="69" t="s">
        <v>147</v>
      </c>
      <c r="D11" s="66"/>
      <c r="E11" s="68"/>
      <c r="F11" s="68"/>
      <c r="G11" s="68"/>
      <c r="H11" s="67">
        <f t="shared" ref="H11:K11" si="1">100000/52</f>
        <v>1923.076923</v>
      </c>
      <c r="I11" s="67">
        <f t="shared" si="1"/>
        <v>1923.076923</v>
      </c>
      <c r="J11" s="67">
        <f t="shared" si="1"/>
        <v>1923.076923</v>
      </c>
      <c r="K11" s="67">
        <f t="shared" si="1"/>
        <v>1923.076923</v>
      </c>
      <c r="L11" s="67">
        <v>2250.0</v>
      </c>
      <c r="M11" s="70">
        <v>6345.0</v>
      </c>
      <c r="N11" s="67">
        <v>2250.0</v>
      </c>
      <c r="O11" s="67">
        <v>2250.0</v>
      </c>
      <c r="P11" s="67">
        <f>(100000/52)+3500</f>
        <v>5423.076923</v>
      </c>
      <c r="Q11" s="67">
        <f t="shared" ref="Q11:AM11" si="2">100000/52</f>
        <v>1923.076923</v>
      </c>
      <c r="R11" s="67">
        <f t="shared" si="2"/>
        <v>1923.076923</v>
      </c>
      <c r="S11" s="67">
        <f t="shared" si="2"/>
        <v>1923.076923</v>
      </c>
      <c r="T11" s="67">
        <f t="shared" si="2"/>
        <v>1923.076923</v>
      </c>
      <c r="U11" s="67">
        <f t="shared" si="2"/>
        <v>1923.076923</v>
      </c>
      <c r="V11" s="67">
        <f t="shared" si="2"/>
        <v>1923.076923</v>
      </c>
      <c r="W11" s="67">
        <f t="shared" si="2"/>
        <v>1923.076923</v>
      </c>
      <c r="X11" s="67">
        <f t="shared" si="2"/>
        <v>1923.076923</v>
      </c>
      <c r="Y11" s="67">
        <f t="shared" si="2"/>
        <v>1923.076923</v>
      </c>
      <c r="Z11" s="67">
        <f t="shared" si="2"/>
        <v>1923.076923</v>
      </c>
      <c r="AA11" s="67">
        <f t="shared" si="2"/>
        <v>1923.076923</v>
      </c>
      <c r="AB11" s="67">
        <f t="shared" si="2"/>
        <v>1923.076923</v>
      </c>
      <c r="AC11" s="67">
        <f t="shared" si="2"/>
        <v>1923.076923</v>
      </c>
      <c r="AD11" s="67">
        <f t="shared" si="2"/>
        <v>1923.076923</v>
      </c>
      <c r="AE11" s="67">
        <f t="shared" si="2"/>
        <v>1923.076923</v>
      </c>
      <c r="AF11" s="67">
        <f t="shared" si="2"/>
        <v>1923.076923</v>
      </c>
      <c r="AG11" s="67">
        <f t="shared" si="2"/>
        <v>1923.076923</v>
      </c>
      <c r="AH11" s="67">
        <f t="shared" si="2"/>
        <v>1923.076923</v>
      </c>
      <c r="AI11" s="67">
        <f t="shared" si="2"/>
        <v>1923.076923</v>
      </c>
      <c r="AJ11" s="67">
        <f t="shared" si="2"/>
        <v>1923.076923</v>
      </c>
      <c r="AK11" s="67">
        <f t="shared" si="2"/>
        <v>1923.076923</v>
      </c>
      <c r="AL11" s="67">
        <f t="shared" si="2"/>
        <v>1923.076923</v>
      </c>
      <c r="AM11" s="67">
        <f t="shared" si="2"/>
        <v>1923.076923</v>
      </c>
    </row>
    <row r="12">
      <c r="A12" s="66" t="s">
        <v>148</v>
      </c>
      <c r="B12" s="66" t="s">
        <v>149</v>
      </c>
      <c r="C12" s="66"/>
      <c r="D12" s="66"/>
      <c r="E12" s="67">
        <v>3937.51</v>
      </c>
      <c r="F12" s="67">
        <v>3937.51</v>
      </c>
      <c r="G12" s="67">
        <v>3937.51</v>
      </c>
      <c r="H12" s="67">
        <v>3937.51</v>
      </c>
      <c r="I12" s="67">
        <v>3937.51</v>
      </c>
      <c r="J12" s="67">
        <v>3937.51</v>
      </c>
      <c r="K12" s="67">
        <v>3937.51</v>
      </c>
      <c r="L12" s="67">
        <v>3937.51</v>
      </c>
      <c r="M12" s="67">
        <v>3937.51</v>
      </c>
      <c r="N12" s="67">
        <v>3937.51</v>
      </c>
      <c r="O12" s="67">
        <v>3937.51</v>
      </c>
      <c r="P12" s="67">
        <v>3937.51</v>
      </c>
      <c r="Q12" s="67">
        <v>3937.51</v>
      </c>
      <c r="R12" s="67">
        <v>3937.51</v>
      </c>
      <c r="S12" s="67">
        <v>3937.51</v>
      </c>
      <c r="T12" s="67">
        <v>3937.51</v>
      </c>
      <c r="U12" s="67">
        <v>3937.51</v>
      </c>
      <c r="V12" s="67">
        <v>3937.51</v>
      </c>
      <c r="W12" s="67">
        <v>3937.51</v>
      </c>
      <c r="X12" s="67">
        <v>3937.51</v>
      </c>
      <c r="Y12" s="67">
        <v>3937.51</v>
      </c>
      <c r="Z12" s="67">
        <v>3937.51</v>
      </c>
      <c r="AA12" s="67">
        <v>3937.51</v>
      </c>
      <c r="AB12" s="67">
        <v>3937.51</v>
      </c>
      <c r="AC12" s="67">
        <v>3937.51</v>
      </c>
      <c r="AD12" s="67">
        <v>3937.51</v>
      </c>
      <c r="AE12" s="67">
        <v>3937.51</v>
      </c>
      <c r="AF12" s="67">
        <v>3937.51</v>
      </c>
      <c r="AG12" s="67">
        <v>3937.50999999999</v>
      </c>
      <c r="AH12" s="67">
        <v>3937.50999999999</v>
      </c>
      <c r="AI12" s="67">
        <v>3937.50999999999</v>
      </c>
      <c r="AJ12" s="67">
        <v>3937.50999999999</v>
      </c>
      <c r="AK12" s="67">
        <v>3937.50999999999</v>
      </c>
      <c r="AL12" s="67">
        <v>3937.50999999999</v>
      </c>
      <c r="AM12" s="67">
        <v>3937.50999999999</v>
      </c>
    </row>
    <row r="13">
      <c r="A13" s="66" t="s">
        <v>150</v>
      </c>
      <c r="B13" s="66" t="s">
        <v>151</v>
      </c>
      <c r="C13" s="66"/>
      <c r="D13" s="66" t="s">
        <v>131</v>
      </c>
      <c r="E13" s="67">
        <v>1799.93</v>
      </c>
      <c r="F13" s="67">
        <v>1799.93</v>
      </c>
      <c r="G13" s="67">
        <v>1799.93</v>
      </c>
      <c r="H13" s="67">
        <v>1799.93</v>
      </c>
      <c r="I13" s="67">
        <v>1799.93</v>
      </c>
      <c r="J13" s="67">
        <v>1799.93</v>
      </c>
      <c r="K13" s="67">
        <v>1799.93</v>
      </c>
      <c r="L13" s="67">
        <v>1799.93</v>
      </c>
      <c r="M13" s="67">
        <v>1799.93</v>
      </c>
      <c r="N13" s="67">
        <v>1799.93</v>
      </c>
      <c r="O13" s="67">
        <v>1799.93</v>
      </c>
      <c r="P13" s="67">
        <v>1799.93</v>
      </c>
      <c r="Q13" s="67">
        <v>1799.93</v>
      </c>
      <c r="R13" s="67">
        <v>1799.93</v>
      </c>
      <c r="S13" s="67">
        <v>1799.93</v>
      </c>
      <c r="T13" s="67">
        <v>1799.93</v>
      </c>
      <c r="U13" s="67">
        <v>1799.93</v>
      </c>
      <c r="V13" s="67">
        <v>1799.93</v>
      </c>
      <c r="W13" s="67">
        <v>1799.93</v>
      </c>
      <c r="X13" s="67">
        <v>1799.93</v>
      </c>
      <c r="Y13" s="67">
        <v>1799.93</v>
      </c>
      <c r="Z13" s="67">
        <v>1799.93</v>
      </c>
      <c r="AA13" s="67">
        <v>1799.93</v>
      </c>
      <c r="AB13" s="67">
        <v>1799.93</v>
      </c>
      <c r="AC13" s="67">
        <v>1799.93</v>
      </c>
      <c r="AD13" s="67">
        <v>1799.93</v>
      </c>
      <c r="AE13" s="67">
        <v>1799.93</v>
      </c>
      <c r="AF13" s="67">
        <v>1799.93</v>
      </c>
      <c r="AG13" s="67">
        <v>1799.93</v>
      </c>
      <c r="AH13" s="67">
        <v>1799.93</v>
      </c>
      <c r="AI13" s="67">
        <v>1799.93</v>
      </c>
      <c r="AJ13" s="67">
        <v>1799.93</v>
      </c>
      <c r="AK13" s="67">
        <v>1799.93</v>
      </c>
      <c r="AL13" s="67">
        <v>1799.93</v>
      </c>
      <c r="AM13" s="67">
        <v>1799.93</v>
      </c>
    </row>
    <row r="14">
      <c r="A14" s="66" t="s">
        <v>152</v>
      </c>
      <c r="B14" s="66" t="s">
        <v>151</v>
      </c>
      <c r="C14" s="66"/>
      <c r="D14" s="66" t="s">
        <v>131</v>
      </c>
      <c r="E14" s="67">
        <v>1575.0</v>
      </c>
      <c r="F14" s="67">
        <v>1575.0</v>
      </c>
      <c r="G14" s="67">
        <v>1575.0</v>
      </c>
      <c r="H14" s="67">
        <v>1575.0</v>
      </c>
      <c r="I14" s="67">
        <v>1575.0</v>
      </c>
      <c r="J14" s="67">
        <v>1575.0</v>
      </c>
      <c r="K14" s="67">
        <v>1575.0</v>
      </c>
      <c r="L14" s="67">
        <v>1575.0</v>
      </c>
      <c r="M14" s="67">
        <v>1575.0</v>
      </c>
      <c r="N14" s="67">
        <v>1575.0</v>
      </c>
      <c r="O14" s="67">
        <v>1575.0</v>
      </c>
      <c r="P14" s="67">
        <v>1575.0</v>
      </c>
      <c r="Q14" s="67">
        <v>1575.0</v>
      </c>
      <c r="R14" s="67">
        <v>1575.0</v>
      </c>
      <c r="S14" s="67">
        <v>1575.0</v>
      </c>
      <c r="T14" s="67">
        <v>1575.0</v>
      </c>
      <c r="U14" s="67">
        <v>1575.0</v>
      </c>
      <c r="V14" s="67">
        <v>1575.0</v>
      </c>
      <c r="W14" s="67">
        <v>1575.0</v>
      </c>
      <c r="X14" s="67">
        <v>1575.0</v>
      </c>
      <c r="Y14" s="67">
        <v>1575.0</v>
      </c>
      <c r="Z14" s="67">
        <v>1575.0</v>
      </c>
      <c r="AA14" s="67">
        <v>1575.0</v>
      </c>
      <c r="AB14" s="67">
        <v>1575.0</v>
      </c>
      <c r="AC14" s="67">
        <v>1575.0</v>
      </c>
      <c r="AD14" s="67">
        <v>1575.0</v>
      </c>
      <c r="AE14" s="67">
        <v>1575.0</v>
      </c>
      <c r="AF14" s="67">
        <v>1575.0</v>
      </c>
      <c r="AG14" s="67">
        <v>1575.0</v>
      </c>
      <c r="AH14" s="67">
        <v>1575.0</v>
      </c>
      <c r="AI14" s="67">
        <v>1575.0</v>
      </c>
      <c r="AJ14" s="67">
        <v>1575.0</v>
      </c>
      <c r="AK14" s="67">
        <v>1575.0</v>
      </c>
      <c r="AL14" s="67">
        <v>1575.0</v>
      </c>
      <c r="AM14" s="67">
        <v>1575.0</v>
      </c>
    </row>
    <row r="15">
      <c r="A15" s="68" t="s">
        <v>153</v>
      </c>
      <c r="B15" s="68"/>
      <c r="C15" s="68"/>
      <c r="D15" s="68"/>
      <c r="E15" s="68"/>
      <c r="F15" s="68"/>
      <c r="G15" s="68">
        <v>6000.0</v>
      </c>
      <c r="H15" s="68"/>
      <c r="I15" s="68"/>
      <c r="J15" s="68"/>
      <c r="K15" s="68"/>
      <c r="L15" s="68">
        <v>6000.0</v>
      </c>
      <c r="M15" s="68"/>
      <c r="N15" s="68"/>
      <c r="O15" s="68"/>
      <c r="P15" s="68">
        <v>6000.0</v>
      </c>
      <c r="Q15" s="68"/>
      <c r="R15" s="68"/>
      <c r="S15" s="68"/>
      <c r="T15" s="68">
        <v>6000.0</v>
      </c>
      <c r="U15" s="68"/>
      <c r="V15" s="68"/>
      <c r="W15" s="68"/>
      <c r="X15" s="68"/>
      <c r="Y15" s="68">
        <v>6000.0</v>
      </c>
      <c r="Z15" s="68"/>
      <c r="AA15" s="68"/>
      <c r="AB15" s="68"/>
      <c r="AC15" s="68"/>
      <c r="AD15" s="68"/>
      <c r="AE15" s="68">
        <v>6001.0</v>
      </c>
      <c r="AF15" s="68"/>
      <c r="AG15" s="68">
        <v>6001.0</v>
      </c>
      <c r="AH15" s="68"/>
      <c r="AI15" s="68"/>
      <c r="AJ15" s="68"/>
      <c r="AK15" s="68"/>
      <c r="AL15" s="68"/>
      <c r="AM15" s="68">
        <v>6002.0</v>
      </c>
    </row>
    <row r="16">
      <c r="A16" s="68" t="s">
        <v>154</v>
      </c>
      <c r="B16" s="68"/>
      <c r="C16" s="68"/>
      <c r="D16" s="68"/>
      <c r="E16" s="68"/>
      <c r="F16" s="68"/>
      <c r="G16" s="68"/>
      <c r="H16" s="68"/>
      <c r="I16" s="68"/>
      <c r="J16" s="68"/>
      <c r="K16" s="71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>
        <f t="shared" ref="V16:AM16" si="3">(180000/26)</f>
        <v>6923.076923</v>
      </c>
      <c r="W16" s="68">
        <f t="shared" si="3"/>
        <v>6923.076923</v>
      </c>
      <c r="X16" s="68">
        <f t="shared" si="3"/>
        <v>6923.076923</v>
      </c>
      <c r="Y16" s="68">
        <f t="shared" si="3"/>
        <v>6923.076923</v>
      </c>
      <c r="Z16" s="68">
        <f t="shared" si="3"/>
        <v>6923.076923</v>
      </c>
      <c r="AA16" s="68">
        <f t="shared" si="3"/>
        <v>6923.076923</v>
      </c>
      <c r="AB16" s="68">
        <f t="shared" si="3"/>
        <v>6923.076923</v>
      </c>
      <c r="AC16" s="68">
        <f t="shared" si="3"/>
        <v>6923.076923</v>
      </c>
      <c r="AD16" s="68">
        <f t="shared" si="3"/>
        <v>6923.076923</v>
      </c>
      <c r="AE16" s="68">
        <f t="shared" si="3"/>
        <v>6923.076923</v>
      </c>
      <c r="AF16" s="68">
        <f t="shared" si="3"/>
        <v>6923.076923</v>
      </c>
      <c r="AG16" s="68">
        <f t="shared" si="3"/>
        <v>6923.076923</v>
      </c>
      <c r="AH16" s="68">
        <f t="shared" si="3"/>
        <v>6923.076923</v>
      </c>
      <c r="AI16" s="68">
        <f t="shared" si="3"/>
        <v>6923.076923</v>
      </c>
      <c r="AJ16" s="68">
        <f t="shared" si="3"/>
        <v>6923.076923</v>
      </c>
      <c r="AK16" s="68">
        <f t="shared" si="3"/>
        <v>6923.076923</v>
      </c>
      <c r="AL16" s="68">
        <f t="shared" si="3"/>
        <v>6923.076923</v>
      </c>
      <c r="AM16" s="68">
        <f t="shared" si="3"/>
        <v>6923.076923</v>
      </c>
    </row>
    <row r="17">
      <c r="A17" s="68" t="s">
        <v>155</v>
      </c>
      <c r="B17" s="68"/>
      <c r="C17" s="68"/>
      <c r="D17" s="68"/>
      <c r="E17" s="68"/>
      <c r="F17" s="68"/>
      <c r="G17" s="68"/>
      <c r="H17" s="68"/>
      <c r="I17" s="68"/>
      <c r="J17" s="68"/>
      <c r="K17" s="71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72"/>
      <c r="X17" s="68"/>
      <c r="Y17" s="68"/>
      <c r="Z17" s="72"/>
      <c r="AA17" s="68"/>
      <c r="AB17" s="68"/>
      <c r="AC17" s="72"/>
      <c r="AD17" s="68">
        <f t="shared" ref="AD17:AM17" si="4">AD12</f>
        <v>3937.51</v>
      </c>
      <c r="AE17" s="68">
        <f t="shared" si="4"/>
        <v>3937.51</v>
      </c>
      <c r="AF17" s="68">
        <f t="shared" si="4"/>
        <v>3937.51</v>
      </c>
      <c r="AG17" s="68">
        <f t="shared" si="4"/>
        <v>3937.51</v>
      </c>
      <c r="AH17" s="68">
        <f t="shared" si="4"/>
        <v>3937.51</v>
      </c>
      <c r="AI17" s="68">
        <f t="shared" si="4"/>
        <v>3937.51</v>
      </c>
      <c r="AJ17" s="68">
        <f t="shared" si="4"/>
        <v>3937.51</v>
      </c>
      <c r="AK17" s="68">
        <f t="shared" si="4"/>
        <v>3937.51</v>
      </c>
      <c r="AL17" s="68">
        <f t="shared" si="4"/>
        <v>3937.51</v>
      </c>
      <c r="AM17" s="68">
        <f t="shared" si="4"/>
        <v>3937.51</v>
      </c>
    </row>
    <row r="18">
      <c r="A18" s="68" t="s">
        <v>156</v>
      </c>
      <c r="B18" s="68"/>
      <c r="C18" s="68"/>
      <c r="D18" s="68"/>
      <c r="E18" s="68"/>
      <c r="F18" s="68"/>
      <c r="G18" s="68"/>
      <c r="H18" s="68"/>
      <c r="I18" s="68"/>
      <c r="J18" s="68"/>
      <c r="K18" s="71">
        <v>15680.22</v>
      </c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72">
        <v>24000.0</v>
      </c>
      <c r="X18" s="68"/>
      <c r="Y18" s="68"/>
      <c r="Z18" s="72"/>
      <c r="AA18" s="68"/>
      <c r="AB18" s="68"/>
      <c r="AC18" s="72">
        <v>26000.0</v>
      </c>
      <c r="AD18" s="68"/>
      <c r="AE18" s="68"/>
      <c r="AF18" s="68"/>
      <c r="AG18" s="68"/>
      <c r="AH18" s="72"/>
      <c r="AI18" s="68"/>
      <c r="AJ18" s="68"/>
      <c r="AK18" s="72">
        <v>26001.0</v>
      </c>
      <c r="AL18" s="68"/>
      <c r="AM18" s="68"/>
    </row>
    <row r="19">
      <c r="A19" s="68"/>
      <c r="B19" s="68" t="s">
        <v>157</v>
      </c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7">
        <v>3937.51</v>
      </c>
      <c r="V19" s="67">
        <v>3937.51</v>
      </c>
      <c r="W19" s="67">
        <v>3937.51</v>
      </c>
      <c r="X19" s="67">
        <v>3937.51</v>
      </c>
      <c r="Y19" s="67">
        <v>3937.51</v>
      </c>
      <c r="Z19" s="67">
        <v>3937.51</v>
      </c>
      <c r="AA19" s="67">
        <v>3937.51</v>
      </c>
      <c r="AB19" s="67">
        <v>3937.51</v>
      </c>
      <c r="AC19" s="67">
        <v>3937.51</v>
      </c>
      <c r="AD19" s="67">
        <v>3937.51</v>
      </c>
      <c r="AE19" s="67">
        <v>3937.51</v>
      </c>
      <c r="AF19" s="67">
        <v>3937.51</v>
      </c>
      <c r="AG19" s="67">
        <v>3937.50999999999</v>
      </c>
      <c r="AH19" s="67">
        <v>3937.50999999999</v>
      </c>
      <c r="AI19" s="67">
        <v>3937.50999999999</v>
      </c>
      <c r="AJ19" s="67">
        <v>3937.50999999999</v>
      </c>
      <c r="AK19" s="67">
        <v>3937.50999999999</v>
      </c>
      <c r="AL19" s="67">
        <v>3937.50999999999</v>
      </c>
      <c r="AM19" s="67">
        <v>3937.50999999999</v>
      </c>
    </row>
    <row r="20">
      <c r="A20" s="68"/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>
        <f t="shared" ref="U20:AM20" si="5">(160000/52)*1.25</f>
        <v>3846.153846</v>
      </c>
      <c r="V20" s="68">
        <f t="shared" si="5"/>
        <v>3846.153846</v>
      </c>
      <c r="W20" s="68">
        <f t="shared" si="5"/>
        <v>3846.153846</v>
      </c>
      <c r="X20" s="68">
        <f t="shared" si="5"/>
        <v>3846.153846</v>
      </c>
      <c r="Y20" s="68">
        <f t="shared" si="5"/>
        <v>3846.153846</v>
      </c>
      <c r="Z20" s="68">
        <f t="shared" si="5"/>
        <v>3846.153846</v>
      </c>
      <c r="AA20" s="68">
        <f t="shared" si="5"/>
        <v>3846.153846</v>
      </c>
      <c r="AB20" s="68">
        <f t="shared" si="5"/>
        <v>3846.153846</v>
      </c>
      <c r="AC20" s="68">
        <f t="shared" si="5"/>
        <v>3846.153846</v>
      </c>
      <c r="AD20" s="68">
        <f t="shared" si="5"/>
        <v>3846.153846</v>
      </c>
      <c r="AE20" s="68">
        <f t="shared" si="5"/>
        <v>3846.153846</v>
      </c>
      <c r="AF20" s="68">
        <f t="shared" si="5"/>
        <v>3846.153846</v>
      </c>
      <c r="AG20" s="68">
        <f t="shared" si="5"/>
        <v>3846.153846</v>
      </c>
      <c r="AH20" s="68">
        <f t="shared" si="5"/>
        <v>3846.153846</v>
      </c>
      <c r="AI20" s="68">
        <f t="shared" si="5"/>
        <v>3846.153846</v>
      </c>
      <c r="AJ20" s="68">
        <f t="shared" si="5"/>
        <v>3846.153846</v>
      </c>
      <c r="AK20" s="68">
        <f t="shared" si="5"/>
        <v>3846.153846</v>
      </c>
      <c r="AL20" s="68">
        <f t="shared" si="5"/>
        <v>3846.153846</v>
      </c>
      <c r="AM20" s="68">
        <f t="shared" si="5"/>
        <v>3846.153846</v>
      </c>
    </row>
    <row r="21">
      <c r="A21" s="68" t="s">
        <v>81</v>
      </c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>
        <v>10000.0</v>
      </c>
      <c r="P21" s="68"/>
      <c r="Q21" s="68"/>
      <c r="R21" s="68"/>
      <c r="S21" s="68">
        <v>10000.0</v>
      </c>
      <c r="T21" s="68"/>
      <c r="U21" s="68"/>
      <c r="V21" s="68"/>
      <c r="W21" s="68">
        <v>10000.0</v>
      </c>
      <c r="X21" s="68"/>
      <c r="Y21" s="68"/>
      <c r="Z21" s="73"/>
      <c r="AA21" s="68">
        <v>10000.0</v>
      </c>
      <c r="AB21" s="68"/>
      <c r="AC21" s="73"/>
      <c r="AD21" s="68"/>
      <c r="AE21" s="68">
        <v>10000.0</v>
      </c>
      <c r="AF21" s="68"/>
      <c r="AG21" s="68"/>
      <c r="AH21" s="73"/>
      <c r="AI21" s="68">
        <v>10001.0</v>
      </c>
      <c r="AJ21" s="68"/>
      <c r="AK21" s="73"/>
      <c r="AL21" s="68"/>
      <c r="AM21" s="68">
        <v>10001.0</v>
      </c>
    </row>
    <row r="22">
      <c r="A22" s="66" t="s">
        <v>158</v>
      </c>
      <c r="B22" s="66"/>
      <c r="C22" s="66"/>
      <c r="D22" s="66"/>
      <c r="E22" s="67">
        <f t="shared" ref="E22:AM22" si="6">SUM(E2:E21)</f>
        <v>19700.74</v>
      </c>
      <c r="F22" s="67">
        <f t="shared" si="6"/>
        <v>23165.1</v>
      </c>
      <c r="G22" s="67">
        <f t="shared" si="6"/>
        <v>28853.76</v>
      </c>
      <c r="H22" s="67">
        <f t="shared" si="6"/>
        <v>24776.83692</v>
      </c>
      <c r="I22" s="67">
        <f t="shared" si="6"/>
        <v>24776.83692</v>
      </c>
      <c r="J22" s="67">
        <f t="shared" si="6"/>
        <v>24776.83692</v>
      </c>
      <c r="K22" s="67">
        <f t="shared" si="6"/>
        <v>40457.05692</v>
      </c>
      <c r="L22" s="67">
        <f t="shared" si="6"/>
        <v>30372.76</v>
      </c>
      <c r="M22" s="67">
        <f t="shared" si="6"/>
        <v>27386.26</v>
      </c>
      <c r="N22" s="67">
        <f t="shared" si="6"/>
        <v>23291.26</v>
      </c>
      <c r="O22" s="67">
        <f t="shared" si="6"/>
        <v>33291.26</v>
      </c>
      <c r="P22" s="67">
        <f t="shared" si="6"/>
        <v>32464.33692</v>
      </c>
      <c r="Q22" s="67">
        <f t="shared" si="6"/>
        <v>22964.33692</v>
      </c>
      <c r="R22" s="67">
        <f t="shared" si="6"/>
        <v>22964.33692</v>
      </c>
      <c r="S22" s="67">
        <f t="shared" si="6"/>
        <v>32964.33692</v>
      </c>
      <c r="T22" s="67">
        <f t="shared" si="6"/>
        <v>28964.33692</v>
      </c>
      <c r="U22" s="67">
        <f t="shared" si="6"/>
        <v>30748.00077</v>
      </c>
      <c r="V22" s="67">
        <f t="shared" si="6"/>
        <v>37671.07769</v>
      </c>
      <c r="W22" s="67">
        <f t="shared" si="6"/>
        <v>71671.07769</v>
      </c>
      <c r="X22" s="67">
        <f t="shared" si="6"/>
        <v>37671.07769</v>
      </c>
      <c r="Y22" s="67">
        <f t="shared" si="6"/>
        <v>43671.07769</v>
      </c>
      <c r="Z22" s="67">
        <f t="shared" si="6"/>
        <v>37671.07769</v>
      </c>
      <c r="AA22" s="67">
        <f t="shared" si="6"/>
        <v>47671.07769</v>
      </c>
      <c r="AB22" s="67">
        <f t="shared" si="6"/>
        <v>37671.07769</v>
      </c>
      <c r="AC22" s="67">
        <f t="shared" si="6"/>
        <v>63671.07769</v>
      </c>
      <c r="AD22" s="67">
        <f t="shared" si="6"/>
        <v>41608.58769</v>
      </c>
      <c r="AE22" s="67">
        <f t="shared" si="6"/>
        <v>57609.58769</v>
      </c>
      <c r="AF22" s="67">
        <f t="shared" si="6"/>
        <v>41608.58769</v>
      </c>
      <c r="AG22" s="67">
        <f t="shared" si="6"/>
        <v>47609.58769</v>
      </c>
      <c r="AH22" s="67">
        <f t="shared" si="6"/>
        <v>41608.58769</v>
      </c>
      <c r="AI22" s="67">
        <f t="shared" si="6"/>
        <v>51609.58769</v>
      </c>
      <c r="AJ22" s="67">
        <f t="shared" si="6"/>
        <v>41608.58769</v>
      </c>
      <c r="AK22" s="67">
        <f t="shared" si="6"/>
        <v>67609.58769</v>
      </c>
      <c r="AL22" s="67">
        <f t="shared" si="6"/>
        <v>41608.58769</v>
      </c>
      <c r="AM22" s="67">
        <f t="shared" si="6"/>
        <v>57611.58769</v>
      </c>
    </row>
    <row r="23">
      <c r="A23" s="66"/>
      <c r="B23" s="74"/>
      <c r="C23" s="74"/>
      <c r="D23" s="74"/>
      <c r="E23" s="75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</row>
    <row r="24">
      <c r="A24" s="66"/>
      <c r="B24" s="66"/>
      <c r="C24" s="74"/>
      <c r="D24" s="74"/>
      <c r="E24" s="75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</row>
    <row r="25">
      <c r="A25" s="66" t="s">
        <v>149</v>
      </c>
      <c r="B25" s="66">
        <v>37657.68</v>
      </c>
      <c r="C25" s="74"/>
      <c r="D25" s="74"/>
      <c r="E25" s="75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</row>
    <row r="26">
      <c r="A26" s="66" t="s">
        <v>155</v>
      </c>
      <c r="B26" s="66">
        <v>30927.26</v>
      </c>
      <c r="C26" s="74"/>
      <c r="D26" s="74"/>
      <c r="E26" s="75"/>
      <c r="F26" s="66"/>
      <c r="G26" s="66"/>
      <c r="H26" s="66"/>
      <c r="I26" s="66"/>
      <c r="J26" s="74"/>
      <c r="K26" s="74"/>
      <c r="L26" s="75"/>
      <c r="M26" s="66"/>
      <c r="N26" s="66"/>
      <c r="O26" s="66"/>
      <c r="P26" s="66"/>
      <c r="Q26" s="66"/>
      <c r="R26" s="66"/>
      <c r="S26" s="66"/>
      <c r="T26" s="66"/>
    </row>
    <row r="27">
      <c r="A27" s="66"/>
      <c r="B27" s="66"/>
      <c r="C27" s="74"/>
      <c r="D27" s="74"/>
      <c r="E27" s="75"/>
      <c r="F27" s="66"/>
      <c r="G27" s="66"/>
      <c r="H27" s="66"/>
      <c r="I27" s="66"/>
      <c r="J27" s="74"/>
      <c r="K27" s="74"/>
      <c r="L27" s="75"/>
      <c r="M27" s="66"/>
      <c r="N27" s="66"/>
      <c r="O27" s="66"/>
      <c r="P27" s="66"/>
      <c r="Q27" s="66"/>
      <c r="R27" s="66"/>
      <c r="S27" s="66"/>
      <c r="T27" s="66"/>
    </row>
    <row r="28">
      <c r="A28" s="66"/>
      <c r="B28" s="66"/>
      <c r="C28" s="74"/>
      <c r="D28" s="74"/>
      <c r="E28" s="75"/>
      <c r="F28" s="66"/>
      <c r="G28" s="66"/>
      <c r="H28" s="66"/>
      <c r="I28" s="66"/>
      <c r="J28" s="74"/>
      <c r="K28" s="74"/>
      <c r="L28" s="75"/>
      <c r="M28" s="66"/>
      <c r="N28" s="66"/>
      <c r="O28" s="66"/>
      <c r="P28" s="66"/>
      <c r="Q28" s="66"/>
      <c r="R28" s="66"/>
      <c r="S28" s="66"/>
      <c r="T28" s="66"/>
    </row>
    <row r="29">
      <c r="A29" s="66"/>
      <c r="B29" s="66"/>
      <c r="C29" s="74"/>
      <c r="D29" s="74"/>
      <c r="E29" s="75"/>
      <c r="F29" s="66"/>
      <c r="G29" s="66"/>
      <c r="H29" s="66"/>
      <c r="I29" s="66"/>
      <c r="J29" s="74"/>
      <c r="K29" s="74"/>
      <c r="L29" s="75"/>
      <c r="M29" s="66"/>
      <c r="N29" s="66"/>
      <c r="O29" s="66"/>
      <c r="P29" s="66"/>
      <c r="Q29" s="66"/>
      <c r="R29" s="66"/>
      <c r="S29" s="66"/>
      <c r="T29" s="66"/>
    </row>
    <row r="30">
      <c r="A30" s="66"/>
      <c r="B30" s="66"/>
      <c r="C30" s="74"/>
      <c r="D30" s="74"/>
      <c r="E30" s="75"/>
      <c r="F30" s="66"/>
      <c r="G30" s="66"/>
      <c r="H30" s="66"/>
      <c r="I30" s="66"/>
      <c r="J30" s="74"/>
      <c r="K30" s="74"/>
      <c r="L30" s="75"/>
      <c r="M30" s="66"/>
      <c r="N30" s="66"/>
      <c r="O30" s="66"/>
      <c r="P30" s="66"/>
      <c r="Q30" s="66"/>
      <c r="R30" s="66"/>
      <c r="S30" s="66"/>
      <c r="T30" s="66"/>
    </row>
    <row r="31">
      <c r="A31" s="66"/>
      <c r="B31" s="66"/>
      <c r="C31" s="74"/>
      <c r="D31" s="74"/>
      <c r="E31" s="75"/>
      <c r="F31" s="66"/>
      <c r="G31" s="66"/>
      <c r="H31" s="66"/>
      <c r="I31" s="66"/>
      <c r="J31" s="74"/>
      <c r="K31" s="74"/>
      <c r="L31" s="75"/>
      <c r="M31" s="66"/>
      <c r="N31" s="66"/>
      <c r="O31" s="66"/>
      <c r="P31" s="66"/>
      <c r="Q31" s="66"/>
      <c r="R31" s="66"/>
      <c r="S31" s="66"/>
      <c r="T31" s="66"/>
    </row>
    <row r="32">
      <c r="A32" s="66"/>
      <c r="B32" s="66"/>
      <c r="C32" s="74"/>
      <c r="D32" s="74"/>
      <c r="E32" s="75"/>
      <c r="F32" s="66"/>
      <c r="G32" s="66"/>
      <c r="H32" s="66"/>
      <c r="I32" s="66"/>
      <c r="J32" s="74"/>
      <c r="K32" s="74"/>
      <c r="L32" s="75"/>
      <c r="M32" s="66"/>
      <c r="N32" s="66"/>
      <c r="O32" s="66"/>
      <c r="P32" s="66"/>
      <c r="Q32" s="66"/>
      <c r="R32" s="66"/>
      <c r="S32" s="66"/>
      <c r="T32" s="66"/>
    </row>
    <row r="33">
      <c r="A33" s="66"/>
      <c r="B33" s="66"/>
      <c r="C33" s="66"/>
      <c r="D33" s="66"/>
      <c r="E33" s="75"/>
      <c r="F33" s="66"/>
      <c r="G33" s="66"/>
      <c r="H33" s="66"/>
      <c r="I33" s="66"/>
      <c r="J33" s="74"/>
      <c r="K33" s="74"/>
      <c r="L33" s="75"/>
      <c r="M33" s="66"/>
      <c r="N33" s="66"/>
      <c r="O33" s="66"/>
      <c r="P33" s="66"/>
      <c r="Q33" s="66"/>
      <c r="R33" s="66"/>
      <c r="S33" s="66"/>
      <c r="T33" s="66"/>
    </row>
    <row r="34">
      <c r="A34" s="66"/>
      <c r="B34" s="66"/>
      <c r="C34" s="66"/>
      <c r="D34" s="66"/>
      <c r="E34" s="75"/>
      <c r="F34" s="66"/>
      <c r="G34" s="66"/>
      <c r="H34" s="66"/>
      <c r="I34" s="66"/>
      <c r="J34" s="74"/>
      <c r="K34" s="74"/>
      <c r="L34" s="75"/>
      <c r="M34" s="66"/>
      <c r="N34" s="66"/>
      <c r="O34" s="66"/>
      <c r="P34" s="66"/>
      <c r="Q34" s="66"/>
      <c r="R34" s="66"/>
      <c r="S34" s="66"/>
      <c r="T34" s="66"/>
    </row>
    <row r="35">
      <c r="A35" s="66"/>
      <c r="B35" s="66"/>
      <c r="C35" s="66"/>
      <c r="D35" s="66"/>
      <c r="E35" s="75"/>
      <c r="F35" s="66"/>
      <c r="G35" s="66"/>
      <c r="H35" s="66"/>
      <c r="I35" s="66"/>
      <c r="J35" s="74"/>
      <c r="K35" s="74"/>
      <c r="L35" s="75"/>
      <c r="M35" s="66"/>
      <c r="N35" s="66"/>
      <c r="O35" s="66"/>
      <c r="P35" s="66"/>
      <c r="Q35" s="66"/>
      <c r="R35" s="66"/>
      <c r="S35" s="66"/>
      <c r="T35" s="66"/>
    </row>
    <row r="36">
      <c r="A36" s="66"/>
      <c r="B36" s="66"/>
      <c r="C36" s="66"/>
      <c r="D36" s="66"/>
      <c r="E36" s="75"/>
      <c r="F36" s="66"/>
      <c r="G36" s="66"/>
      <c r="H36" s="66"/>
      <c r="I36" s="66"/>
      <c r="J36" s="74"/>
      <c r="K36" s="74"/>
      <c r="L36" s="66"/>
      <c r="M36" s="66"/>
      <c r="N36" s="66"/>
      <c r="O36" s="66"/>
      <c r="P36" s="66"/>
      <c r="Q36" s="66"/>
      <c r="R36" s="66"/>
      <c r="S36" s="66"/>
      <c r="T36" s="66"/>
    </row>
    <row r="37">
      <c r="A37" s="66"/>
      <c r="B37" s="66"/>
      <c r="C37" s="66"/>
      <c r="D37" s="66"/>
      <c r="E37" s="75"/>
      <c r="F37" s="66"/>
      <c r="G37" s="66"/>
      <c r="H37" s="66"/>
      <c r="I37" s="66"/>
      <c r="J37" s="74"/>
      <c r="K37" s="74"/>
      <c r="L37" s="66"/>
      <c r="M37" s="66"/>
      <c r="N37" s="66"/>
      <c r="O37" s="66"/>
      <c r="P37" s="66"/>
      <c r="Q37" s="66"/>
      <c r="R37" s="66"/>
      <c r="S37" s="66"/>
      <c r="T37" s="66"/>
    </row>
    <row r="38">
      <c r="A38" s="66"/>
      <c r="B38" s="66"/>
      <c r="C38" s="66"/>
      <c r="D38" s="66"/>
      <c r="E38" s="75"/>
      <c r="F38" s="66"/>
      <c r="G38" s="66"/>
      <c r="H38" s="66"/>
      <c r="I38" s="66"/>
      <c r="J38" s="74"/>
      <c r="K38" s="74"/>
      <c r="L38" s="66"/>
      <c r="M38" s="66"/>
      <c r="N38" s="66"/>
      <c r="O38" s="66"/>
      <c r="P38" s="66"/>
      <c r="Q38" s="66"/>
      <c r="R38" s="66"/>
      <c r="S38" s="66"/>
      <c r="T38" s="66"/>
    </row>
    <row r="39">
      <c r="A39" s="66"/>
      <c r="B39" s="66"/>
      <c r="C39" s="66"/>
      <c r="D39" s="66"/>
      <c r="E39" s="75"/>
      <c r="F39" s="66"/>
      <c r="G39" s="66"/>
      <c r="H39" s="66"/>
      <c r="I39" s="66"/>
      <c r="J39" s="74"/>
      <c r="K39" s="74"/>
      <c r="L39" s="66"/>
      <c r="M39" s="66"/>
      <c r="N39" s="66"/>
      <c r="O39" s="66"/>
      <c r="P39" s="66"/>
      <c r="Q39" s="66"/>
      <c r="R39" s="66"/>
      <c r="S39" s="66"/>
      <c r="T39" s="66"/>
    </row>
    <row r="40">
      <c r="A40" s="66"/>
      <c r="B40" s="66"/>
      <c r="C40" s="66"/>
      <c r="D40" s="66"/>
      <c r="E40" s="66"/>
      <c r="F40" s="66"/>
      <c r="G40" s="66"/>
      <c r="H40" s="66"/>
      <c r="I40" s="66"/>
      <c r="J40" s="74"/>
      <c r="K40" s="74"/>
      <c r="L40" s="66"/>
      <c r="M40" s="66"/>
      <c r="N40" s="66"/>
      <c r="O40" s="66"/>
      <c r="P40" s="66"/>
      <c r="Q40" s="66"/>
      <c r="R40" s="66"/>
      <c r="S40" s="66"/>
      <c r="T40" s="66"/>
    </row>
    <row r="41">
      <c r="A41" s="66"/>
      <c r="B41" s="66"/>
      <c r="C41" s="66"/>
      <c r="D41" s="66"/>
      <c r="E41" s="66"/>
      <c r="F41" s="66"/>
      <c r="G41" s="66"/>
      <c r="H41" s="66"/>
      <c r="I41" s="66"/>
      <c r="J41" s="74"/>
      <c r="K41" s="74"/>
      <c r="L41" s="66"/>
      <c r="M41" s="66"/>
      <c r="N41" s="66"/>
      <c r="O41" s="66"/>
      <c r="P41" s="66"/>
      <c r="Q41" s="66"/>
      <c r="R41" s="66"/>
      <c r="S41" s="66"/>
      <c r="T41" s="66"/>
    </row>
    <row r="42">
      <c r="A42" s="66"/>
      <c r="B42" s="66"/>
      <c r="C42" s="66"/>
      <c r="D42" s="66"/>
      <c r="E42" s="66"/>
      <c r="F42" s="66"/>
      <c r="G42" s="66"/>
      <c r="H42" s="66"/>
      <c r="I42" s="66"/>
      <c r="J42" s="74"/>
      <c r="K42" s="74"/>
      <c r="L42" s="66"/>
      <c r="M42" s="66"/>
      <c r="N42" s="66"/>
      <c r="O42" s="66"/>
      <c r="P42" s="66"/>
      <c r="Q42" s="66"/>
      <c r="R42" s="66"/>
      <c r="S42" s="66"/>
      <c r="T42" s="66"/>
    </row>
    <row r="43">
      <c r="A43" s="66"/>
      <c r="B43" s="66"/>
      <c r="C43" s="66"/>
      <c r="D43" s="66"/>
      <c r="E43" s="66"/>
      <c r="F43" s="66"/>
      <c r="G43" s="66"/>
      <c r="H43" s="66"/>
      <c r="I43" s="66"/>
      <c r="J43" s="74"/>
      <c r="K43" s="74"/>
      <c r="L43" s="66"/>
      <c r="M43" s="66"/>
      <c r="N43" s="66"/>
      <c r="O43" s="66"/>
      <c r="P43" s="66"/>
      <c r="Q43" s="66"/>
      <c r="R43" s="66"/>
      <c r="S43" s="66"/>
      <c r="T43" s="66"/>
    </row>
    <row r="44">
      <c r="A44" s="66"/>
      <c r="B44" s="66"/>
      <c r="C44" s="66"/>
      <c r="D44" s="66"/>
      <c r="E44" s="66"/>
      <c r="F44" s="66"/>
      <c r="G44" s="66"/>
      <c r="H44" s="66"/>
      <c r="I44" s="66"/>
      <c r="J44" s="74"/>
      <c r="K44" s="74"/>
      <c r="L44" s="66"/>
      <c r="M44" s="66"/>
      <c r="N44" s="66"/>
      <c r="O44" s="66"/>
      <c r="P44" s="66"/>
      <c r="Q44" s="66"/>
      <c r="R44" s="66"/>
      <c r="S44" s="66"/>
      <c r="T44" s="66"/>
    </row>
    <row r="45">
      <c r="A45" s="66"/>
      <c r="B45" s="66"/>
      <c r="C45" s="66"/>
      <c r="D45" s="66"/>
      <c r="E45" s="66"/>
      <c r="F45" s="66"/>
      <c r="G45" s="66"/>
      <c r="H45" s="66"/>
      <c r="I45" s="66"/>
      <c r="J45" s="74"/>
      <c r="K45" s="74"/>
      <c r="L45" s="66"/>
      <c r="M45" s="66"/>
      <c r="N45" s="66"/>
      <c r="O45" s="66"/>
      <c r="P45" s="66"/>
      <c r="Q45" s="66"/>
      <c r="R45" s="66"/>
      <c r="S45" s="66"/>
      <c r="T45" s="66"/>
    </row>
    <row r="46">
      <c r="A46" s="66"/>
      <c r="B46" s="66"/>
      <c r="C46" s="66"/>
      <c r="D46" s="66"/>
      <c r="E46" s="66"/>
      <c r="F46" s="66"/>
      <c r="G46" s="66"/>
      <c r="H46" s="66"/>
      <c r="I46" s="66"/>
      <c r="J46" s="74"/>
      <c r="K46" s="74"/>
      <c r="L46" s="66"/>
      <c r="M46" s="66"/>
      <c r="N46" s="66"/>
      <c r="O46" s="66"/>
      <c r="P46" s="66"/>
      <c r="Q46" s="66"/>
      <c r="R46" s="66"/>
      <c r="S46" s="66"/>
      <c r="T46" s="66"/>
    </row>
    <row r="47">
      <c r="A47" s="66"/>
      <c r="B47" s="66"/>
      <c r="C47" s="66"/>
      <c r="D47" s="66"/>
      <c r="E47" s="66"/>
      <c r="F47" s="66"/>
      <c r="G47" s="66"/>
      <c r="H47" s="66"/>
      <c r="I47" s="66"/>
      <c r="J47" s="74"/>
      <c r="K47" s="74"/>
      <c r="L47" s="66"/>
      <c r="M47" s="66"/>
      <c r="N47" s="66"/>
      <c r="O47" s="66"/>
      <c r="P47" s="66"/>
      <c r="Q47" s="66"/>
      <c r="R47" s="66"/>
      <c r="S47" s="66"/>
      <c r="T47" s="66"/>
    </row>
    <row r="48">
      <c r="A48" s="66"/>
      <c r="B48" s="66"/>
      <c r="C48" s="66"/>
      <c r="D48" s="66"/>
      <c r="E48" s="66"/>
      <c r="F48" s="66"/>
      <c r="G48" s="66"/>
      <c r="H48" s="66"/>
      <c r="I48" s="66"/>
      <c r="J48" s="74"/>
      <c r="K48" s="74"/>
      <c r="L48" s="66"/>
      <c r="M48" s="66"/>
      <c r="N48" s="66"/>
      <c r="O48" s="66"/>
      <c r="P48" s="66"/>
      <c r="Q48" s="66"/>
      <c r="R48" s="66"/>
      <c r="S48" s="66"/>
      <c r="T48" s="66"/>
    </row>
    <row r="49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</row>
    <row r="50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</row>
    <row r="5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</row>
    <row r="52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</row>
    <row r="53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</row>
    <row r="54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</row>
    <row r="55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</row>
    <row r="56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</row>
    <row r="57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</row>
    <row r="58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</row>
    <row r="59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</row>
    <row r="60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</row>
    <row r="6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</row>
    <row r="62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</row>
    <row r="63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</row>
    <row r="64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</row>
    <row r="65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</row>
    <row r="66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</row>
    <row r="67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</row>
    <row r="68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</row>
    <row r="69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</row>
    <row r="70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</row>
    <row r="7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</row>
    <row r="72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</row>
    <row r="73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</row>
    <row r="74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</row>
    <row r="75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</row>
    <row r="76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</row>
    <row r="77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</row>
    <row r="78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</row>
    <row r="79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</row>
    <row r="80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</row>
    <row r="8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</row>
    <row r="82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</row>
    <row r="83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</row>
    <row r="84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</row>
    <row r="85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</row>
    <row r="86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</row>
    <row r="87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</row>
    <row r="88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</row>
    <row r="89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</row>
    <row r="90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</row>
    <row r="9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</row>
    <row r="92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</row>
    <row r="93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</row>
    <row r="94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</row>
    <row r="95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</row>
    <row r="96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</row>
    <row r="97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</row>
    <row r="98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</row>
    <row r="99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</row>
    <row r="100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</row>
    <row r="10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</row>
    <row r="102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</row>
    <row r="103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</row>
    <row r="104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</row>
    <row r="105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</row>
    <row r="106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</row>
    <row r="107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</row>
    <row r="108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</row>
    <row r="109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</row>
    <row r="110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</row>
    <row r="11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</row>
    <row r="112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</row>
    <row r="113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</row>
    <row r="114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</row>
    <row r="115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</row>
    <row r="116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</row>
    <row r="117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</row>
    <row r="118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</row>
    <row r="119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</row>
    <row r="120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</row>
    <row r="12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</row>
    <row r="122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</row>
    <row r="123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</row>
    <row r="124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</row>
    <row r="125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</row>
    <row r="126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</row>
    <row r="127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</row>
    <row r="128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</row>
    <row r="129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</row>
    <row r="130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</row>
    <row r="13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</row>
    <row r="132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</row>
    <row r="133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</row>
    <row r="134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</row>
    <row r="135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</row>
    <row r="136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</row>
    <row r="137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</row>
    <row r="138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</row>
    <row r="139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</row>
    <row r="140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</row>
    <row r="14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</row>
    <row r="142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</row>
    <row r="143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</row>
    <row r="144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</row>
    <row r="145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</row>
    <row r="146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</row>
    <row r="147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</row>
    <row r="148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</row>
    <row r="149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</row>
    <row r="150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</row>
    <row r="15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</row>
    <row r="152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</row>
    <row r="153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</row>
    <row r="154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</row>
    <row r="155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</row>
    <row r="156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</row>
    <row r="157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</row>
    <row r="158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</row>
    <row r="159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</row>
    <row r="160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</row>
    <row r="16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</row>
    <row r="162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</row>
    <row r="163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</row>
    <row r="164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</row>
    <row r="165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</row>
    <row r="166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</row>
    <row r="167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</row>
    <row r="168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</row>
    <row r="169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</row>
    <row r="170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</row>
    <row r="17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</row>
    <row r="172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</row>
    <row r="173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</row>
    <row r="174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</row>
    <row r="175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</row>
    <row r="176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</row>
    <row r="177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</row>
    <row r="178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</row>
    <row r="179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</row>
    <row r="180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</row>
    <row r="18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</row>
    <row r="182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</row>
    <row r="183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</row>
    <row r="184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</row>
    <row r="185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</row>
    <row r="186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</row>
    <row r="187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</row>
    <row r="188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</row>
    <row r="189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</row>
    <row r="190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</row>
    <row r="19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</row>
    <row r="192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</row>
    <row r="193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</row>
    <row r="194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</row>
    <row r="195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</row>
    <row r="196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</row>
    <row r="197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</row>
    <row r="198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</row>
    <row r="199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</row>
    <row r="200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</row>
    <row r="20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</row>
    <row r="202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</row>
    <row r="203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</row>
    <row r="204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</row>
    <row r="205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</row>
    <row r="206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</row>
    <row r="207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</row>
    <row r="208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</row>
    <row r="209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</row>
    <row r="210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</row>
    <row r="21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</row>
    <row r="212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</row>
    <row r="213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</row>
    <row r="214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</row>
    <row r="215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</row>
    <row r="216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</row>
    <row r="217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</row>
    <row r="218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</row>
    <row r="219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</row>
    <row r="220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</row>
    <row r="22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</row>
    <row r="222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</row>
    <row r="223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</row>
    <row r="224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</row>
    <row r="225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</row>
    <row r="226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</row>
    <row r="227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</row>
    <row r="228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</row>
    <row r="229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</row>
    <row r="230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</row>
    <row r="23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</row>
    <row r="232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</row>
    <row r="233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</row>
    <row r="234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</row>
    <row r="235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</row>
    <row r="236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</row>
    <row r="237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</row>
    <row r="238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</row>
    <row r="239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</row>
    <row r="240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</row>
    <row r="24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</row>
    <row r="242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</row>
    <row r="243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</row>
    <row r="244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</row>
    <row r="245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</row>
    <row r="246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</row>
    <row r="247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</row>
    <row r="248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</row>
    <row r="249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</row>
    <row r="250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</row>
    <row r="25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</row>
    <row r="252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</row>
    <row r="253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</row>
    <row r="254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</row>
    <row r="255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</row>
    <row r="256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</row>
    <row r="257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</row>
    <row r="258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</row>
    <row r="259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</row>
    <row r="260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</row>
    <row r="26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</row>
    <row r="262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</row>
    <row r="263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</row>
    <row r="264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</row>
    <row r="265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</row>
    <row r="266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</row>
    <row r="267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</row>
    <row r="268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</row>
    <row r="269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</row>
    <row r="270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</row>
    <row r="27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</row>
    <row r="272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</row>
    <row r="273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</row>
    <row r="274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</row>
    <row r="275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</row>
    <row r="276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</row>
    <row r="277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</row>
    <row r="278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</row>
    <row r="279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</row>
    <row r="280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</row>
    <row r="28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</row>
    <row r="282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</row>
    <row r="283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</row>
    <row r="284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</row>
    <row r="285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</row>
    <row r="286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</row>
    <row r="287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</row>
    <row r="288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</row>
    <row r="289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</row>
    <row r="290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</row>
    <row r="29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</row>
    <row r="292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</row>
    <row r="293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</row>
    <row r="294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</row>
    <row r="295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</row>
    <row r="296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</row>
    <row r="297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</row>
    <row r="298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</row>
    <row r="299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</row>
    <row r="300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</row>
    <row r="30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</row>
    <row r="302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</row>
    <row r="303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</row>
    <row r="304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</row>
    <row r="305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</row>
    <row r="306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</row>
    <row r="307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</row>
    <row r="308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</row>
    <row r="309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</row>
    <row r="310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</row>
    <row r="31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</row>
    <row r="312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</row>
    <row r="313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</row>
    <row r="314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</row>
    <row r="315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</row>
    <row r="316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</row>
    <row r="317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</row>
    <row r="318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</row>
    <row r="319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</row>
    <row r="320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</row>
    <row r="32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</row>
    <row r="322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</row>
    <row r="323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</row>
    <row r="324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</row>
    <row r="325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</row>
    <row r="326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</row>
    <row r="327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</row>
    <row r="328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</row>
    <row r="329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</row>
    <row r="330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</row>
    <row r="33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</row>
    <row r="332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</row>
    <row r="333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</row>
    <row r="334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</row>
    <row r="335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</row>
    <row r="336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</row>
    <row r="337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</row>
    <row r="338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</row>
    <row r="339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</row>
    <row r="340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</row>
    <row r="34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</row>
    <row r="342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</row>
    <row r="343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</row>
    <row r="344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</row>
    <row r="345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</row>
    <row r="346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</row>
    <row r="347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</row>
    <row r="348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</row>
    <row r="349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</row>
    <row r="350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</row>
    <row r="35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</row>
    <row r="352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</row>
    <row r="353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</row>
    <row r="354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</row>
    <row r="355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</row>
    <row r="356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</row>
    <row r="357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</row>
    <row r="358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</row>
    <row r="359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</row>
    <row r="360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</row>
    <row r="36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</row>
    <row r="362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</row>
    <row r="363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</row>
    <row r="364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</row>
    <row r="365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</row>
    <row r="366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</row>
    <row r="367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</row>
    <row r="368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</row>
    <row r="369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</row>
    <row r="370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</row>
    <row r="37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</row>
    <row r="372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</row>
    <row r="373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</row>
    <row r="374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</row>
    <row r="375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</row>
    <row r="376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</row>
    <row r="377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</row>
    <row r="378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</row>
    <row r="379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</row>
    <row r="380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</row>
    <row r="38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</row>
    <row r="382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</row>
    <row r="383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</row>
    <row r="384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</row>
    <row r="385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</row>
    <row r="386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</row>
    <row r="387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</row>
    <row r="388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</row>
    <row r="389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</row>
    <row r="390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</row>
    <row r="39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</row>
    <row r="392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</row>
    <row r="393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</row>
    <row r="394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</row>
    <row r="395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</row>
    <row r="396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</row>
    <row r="397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</row>
    <row r="398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</row>
    <row r="399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</row>
    <row r="400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</row>
    <row r="40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</row>
    <row r="402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</row>
    <row r="403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</row>
    <row r="404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</row>
    <row r="405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</row>
    <row r="406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</row>
    <row r="407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</row>
    <row r="408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</row>
    <row r="409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</row>
    <row r="410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</row>
    <row r="41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</row>
    <row r="412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</row>
    <row r="413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</row>
    <row r="414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</row>
    <row r="415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</row>
    <row r="416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</row>
    <row r="417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</row>
    <row r="418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</row>
    <row r="419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</row>
    <row r="420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</row>
    <row r="42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</row>
    <row r="422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</row>
    <row r="423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</row>
    <row r="424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</row>
    <row r="425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</row>
    <row r="426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</row>
    <row r="427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</row>
    <row r="428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</row>
    <row r="429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</row>
    <row r="430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</row>
    <row r="43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</row>
    <row r="432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</row>
    <row r="433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</row>
    <row r="434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</row>
    <row r="435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</row>
    <row r="436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</row>
    <row r="437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</row>
    <row r="438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</row>
    <row r="439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</row>
    <row r="440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</row>
    <row r="44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</row>
    <row r="442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</row>
    <row r="443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</row>
    <row r="444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</row>
    <row r="445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</row>
    <row r="446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</row>
    <row r="447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</row>
    <row r="448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</row>
    <row r="449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</row>
    <row r="450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</row>
    <row r="45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</row>
    <row r="452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</row>
    <row r="453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</row>
    <row r="454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</row>
    <row r="455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</row>
    <row r="456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</row>
    <row r="457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</row>
    <row r="458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</row>
    <row r="459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</row>
    <row r="460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</row>
    <row r="46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</row>
    <row r="462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</row>
    <row r="463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</row>
    <row r="464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</row>
    <row r="465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</row>
    <row r="466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</row>
    <row r="467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</row>
    <row r="468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</row>
    <row r="469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</row>
    <row r="470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</row>
    <row r="47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</row>
    <row r="472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</row>
    <row r="473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</row>
    <row r="474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</row>
    <row r="475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</row>
    <row r="476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</row>
    <row r="477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</row>
    <row r="478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</row>
    <row r="479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</row>
    <row r="480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</row>
    <row r="48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</row>
    <row r="482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</row>
    <row r="483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</row>
    <row r="484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</row>
    <row r="485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</row>
    <row r="486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</row>
    <row r="487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</row>
    <row r="488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</row>
    <row r="489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</row>
    <row r="490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</row>
    <row r="49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</row>
    <row r="492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</row>
    <row r="493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</row>
    <row r="494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</row>
    <row r="495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</row>
    <row r="496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</row>
    <row r="497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</row>
    <row r="498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</row>
    <row r="499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</row>
    <row r="500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</row>
    <row r="50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</row>
    <row r="502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</row>
    <row r="503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</row>
    <row r="504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</row>
    <row r="505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</row>
    <row r="506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</row>
    <row r="507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</row>
    <row r="508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</row>
    <row r="509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</row>
    <row r="510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</row>
    <row r="51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</row>
    <row r="512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</row>
    <row r="513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</row>
    <row r="514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</row>
    <row r="515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</row>
    <row r="516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</row>
    <row r="517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</row>
    <row r="518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</row>
    <row r="519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</row>
    <row r="520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</row>
    <row r="52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</row>
    <row r="522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</row>
    <row r="523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</row>
    <row r="524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</row>
    <row r="525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</row>
    <row r="526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</row>
    <row r="527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</row>
    <row r="528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</row>
    <row r="529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</row>
    <row r="530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</row>
    <row r="53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</row>
    <row r="532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</row>
    <row r="533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</row>
    <row r="534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</row>
    <row r="535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</row>
    <row r="536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</row>
    <row r="537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</row>
    <row r="538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</row>
    <row r="539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</row>
    <row r="540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</row>
    <row r="54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</row>
    <row r="542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</row>
    <row r="543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</row>
    <row r="544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</row>
    <row r="545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</row>
    <row r="546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</row>
    <row r="547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</row>
    <row r="548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</row>
    <row r="549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</row>
    <row r="550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</row>
    <row r="55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</row>
    <row r="552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</row>
    <row r="553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</row>
    <row r="554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</row>
    <row r="555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</row>
    <row r="556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</row>
    <row r="557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</row>
    <row r="558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</row>
    <row r="559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</row>
    <row r="560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</row>
    <row r="56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</row>
    <row r="562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</row>
    <row r="563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</row>
    <row r="564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</row>
    <row r="565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</row>
    <row r="566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</row>
    <row r="567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</row>
    <row r="568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</row>
    <row r="569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</row>
    <row r="570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</row>
    <row r="57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</row>
    <row r="572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</row>
    <row r="573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</row>
    <row r="574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</row>
    <row r="575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</row>
    <row r="576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</row>
    <row r="577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</row>
    <row r="578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</row>
    <row r="579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</row>
    <row r="580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</row>
    <row r="58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</row>
    <row r="582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</row>
    <row r="583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</row>
    <row r="584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</row>
    <row r="585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</row>
    <row r="586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</row>
    <row r="587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</row>
    <row r="588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</row>
    <row r="589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</row>
    <row r="590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</row>
    <row r="59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</row>
    <row r="592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</row>
    <row r="593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</row>
    <row r="594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</row>
    <row r="595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</row>
    <row r="596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</row>
    <row r="597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</row>
    <row r="598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</row>
    <row r="599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</row>
    <row r="600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</row>
    <row r="60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</row>
    <row r="602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</row>
    <row r="603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</row>
    <row r="604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</row>
    <row r="605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</row>
    <row r="606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</row>
    <row r="607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</row>
    <row r="608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</row>
    <row r="609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</row>
    <row r="610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</row>
    <row r="61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</row>
    <row r="612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</row>
    <row r="613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</row>
    <row r="614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</row>
    <row r="615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</row>
    <row r="616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</row>
    <row r="617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</row>
    <row r="618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</row>
    <row r="619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</row>
    <row r="620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</row>
    <row r="62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</row>
    <row r="622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</row>
    <row r="623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</row>
    <row r="624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</row>
    <row r="625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</row>
    <row r="626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</row>
    <row r="627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</row>
    <row r="628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</row>
    <row r="629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</row>
    <row r="630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</row>
    <row r="63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</row>
    <row r="632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</row>
    <row r="633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</row>
    <row r="634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</row>
    <row r="635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</row>
    <row r="636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</row>
    <row r="637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</row>
    <row r="638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</row>
    <row r="639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</row>
    <row r="640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</row>
    <row r="64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</row>
    <row r="642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</row>
    <row r="643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</row>
    <row r="644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</row>
    <row r="645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</row>
    <row r="646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</row>
    <row r="647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</row>
    <row r="648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</row>
    <row r="649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</row>
    <row r="650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</row>
    <row r="65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</row>
    <row r="652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</row>
    <row r="653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</row>
    <row r="654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</row>
    <row r="655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</row>
    <row r="656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</row>
    <row r="657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</row>
    <row r="658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</row>
    <row r="659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</row>
    <row r="660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</row>
    <row r="66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</row>
    <row r="662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</row>
    <row r="663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</row>
    <row r="664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</row>
    <row r="665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</row>
    <row r="666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</row>
    <row r="667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</row>
    <row r="668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</row>
    <row r="669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</row>
    <row r="670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</row>
    <row r="67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</row>
    <row r="672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</row>
    <row r="673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</row>
    <row r="674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</row>
    <row r="675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</row>
    <row r="676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</row>
    <row r="677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</row>
    <row r="678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</row>
    <row r="679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</row>
    <row r="680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</row>
    <row r="68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</row>
    <row r="682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</row>
    <row r="683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</row>
    <row r="684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</row>
    <row r="685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</row>
    <row r="686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</row>
    <row r="687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</row>
    <row r="688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</row>
    <row r="689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</row>
    <row r="690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</row>
    <row r="69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</row>
    <row r="692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</row>
    <row r="693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</row>
    <row r="694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</row>
    <row r="695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</row>
    <row r="696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</row>
    <row r="697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</row>
    <row r="698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</row>
    <row r="699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</row>
    <row r="700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</row>
    <row r="70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</row>
    <row r="702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</row>
    <row r="703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</row>
    <row r="704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</row>
    <row r="705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</row>
    <row r="706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</row>
    <row r="707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</row>
    <row r="708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</row>
    <row r="709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</row>
    <row r="710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</row>
    <row r="71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</row>
    <row r="712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</row>
    <row r="713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</row>
    <row r="714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</row>
    <row r="715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</row>
    <row r="716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</row>
    <row r="717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</row>
    <row r="718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</row>
    <row r="719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</row>
    <row r="720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</row>
    <row r="72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</row>
    <row r="722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</row>
    <row r="723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</row>
    <row r="724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</row>
    <row r="725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</row>
    <row r="726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</row>
    <row r="727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</row>
    <row r="728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</row>
    <row r="729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</row>
    <row r="730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</row>
    <row r="73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</row>
    <row r="732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</row>
    <row r="733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</row>
    <row r="734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</row>
    <row r="735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</row>
    <row r="736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</row>
    <row r="737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</row>
    <row r="738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</row>
    <row r="739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</row>
    <row r="740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</row>
    <row r="74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</row>
    <row r="742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</row>
    <row r="743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</row>
    <row r="744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</row>
    <row r="745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</row>
    <row r="746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</row>
    <row r="747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</row>
    <row r="748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</row>
    <row r="749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</row>
    <row r="750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</row>
    <row r="75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</row>
    <row r="752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</row>
    <row r="753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</row>
    <row r="754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</row>
    <row r="755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</row>
    <row r="756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</row>
    <row r="757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</row>
    <row r="758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</row>
    <row r="759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</row>
    <row r="760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</row>
    <row r="76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</row>
    <row r="762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</row>
    <row r="763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</row>
    <row r="764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</row>
    <row r="765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</row>
    <row r="766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</row>
    <row r="767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</row>
    <row r="768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</row>
    <row r="769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</row>
    <row r="770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</row>
    <row r="77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</row>
    <row r="772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</row>
    <row r="773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</row>
    <row r="774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</row>
    <row r="775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</row>
    <row r="776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</row>
    <row r="777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</row>
    <row r="778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</row>
    <row r="779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</row>
    <row r="780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</row>
    <row r="78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</row>
    <row r="782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</row>
    <row r="783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</row>
    <row r="784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</row>
    <row r="785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</row>
    <row r="786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</row>
    <row r="787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</row>
    <row r="788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</row>
    <row r="789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</row>
    <row r="790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</row>
    <row r="79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</row>
    <row r="792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</row>
    <row r="793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</row>
    <row r="794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</row>
    <row r="795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</row>
    <row r="796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</row>
    <row r="797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</row>
    <row r="798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</row>
    <row r="799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</row>
    <row r="800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</row>
    <row r="80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</row>
    <row r="802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</row>
    <row r="803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</row>
    <row r="804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</row>
    <row r="805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</row>
    <row r="806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</row>
    <row r="807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</row>
    <row r="808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</row>
    <row r="809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</row>
    <row r="810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</row>
    <row r="81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</row>
    <row r="812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</row>
    <row r="813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</row>
    <row r="814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</row>
    <row r="815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</row>
    <row r="816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</row>
    <row r="817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</row>
    <row r="818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</row>
    <row r="819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</row>
    <row r="820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</row>
    <row r="82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</row>
    <row r="822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</row>
    <row r="823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</row>
    <row r="824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</row>
    <row r="825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</row>
    <row r="826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</row>
    <row r="827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</row>
    <row r="828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</row>
    <row r="829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</row>
    <row r="830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</row>
    <row r="83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</row>
    <row r="832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</row>
    <row r="833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</row>
    <row r="834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</row>
    <row r="835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</row>
    <row r="836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</row>
    <row r="837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</row>
    <row r="838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</row>
    <row r="839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</row>
    <row r="840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</row>
    <row r="84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</row>
    <row r="842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</row>
    <row r="843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</row>
    <row r="844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</row>
    <row r="845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</row>
    <row r="846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</row>
    <row r="847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</row>
    <row r="848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</row>
    <row r="849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</row>
    <row r="850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</row>
    <row r="85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</row>
    <row r="852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</row>
    <row r="853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</row>
    <row r="854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</row>
    <row r="855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</row>
    <row r="856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</row>
    <row r="857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</row>
    <row r="858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</row>
    <row r="859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</row>
    <row r="860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</row>
    <row r="86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</row>
    <row r="862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</row>
    <row r="863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</row>
    <row r="864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</row>
    <row r="865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</row>
    <row r="866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</row>
    <row r="867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</row>
    <row r="868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</row>
    <row r="869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</row>
    <row r="870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</row>
    <row r="87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</row>
    <row r="872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</row>
    <row r="873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</row>
    <row r="874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</row>
    <row r="875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</row>
    <row r="876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</row>
    <row r="877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</row>
    <row r="878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</row>
    <row r="879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</row>
    <row r="880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</row>
    <row r="88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</row>
    <row r="882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</row>
    <row r="883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</row>
    <row r="884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</row>
    <row r="885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</row>
    <row r="886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</row>
    <row r="887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</row>
    <row r="888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</row>
    <row r="889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</row>
    <row r="890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</row>
    <row r="89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</row>
    <row r="892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</row>
    <row r="893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</row>
    <row r="894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</row>
    <row r="895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</row>
    <row r="896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</row>
    <row r="897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</row>
    <row r="898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</row>
    <row r="899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</row>
    <row r="900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</row>
    <row r="90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</row>
    <row r="902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</row>
    <row r="903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</row>
    <row r="904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</row>
    <row r="905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</row>
    <row r="906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</row>
    <row r="907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</row>
    <row r="908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</row>
    <row r="909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</row>
    <row r="910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</row>
    <row r="91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</row>
    <row r="912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</row>
    <row r="913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</row>
    <row r="914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</row>
    <row r="915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</row>
    <row r="916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</row>
    <row r="917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</row>
    <row r="918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</row>
    <row r="919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</row>
    <row r="920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</row>
    <row r="92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</row>
    <row r="922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</row>
    <row r="923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</row>
    <row r="924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</row>
    <row r="925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</row>
    <row r="926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</row>
    <row r="927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</row>
    <row r="928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</row>
    <row r="929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</row>
    <row r="930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</row>
    <row r="93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</row>
    <row r="932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</row>
    <row r="933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</row>
    <row r="934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</row>
    <row r="935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</row>
    <row r="936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</row>
    <row r="937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</row>
    <row r="938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</row>
    <row r="939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</row>
    <row r="940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</row>
    <row r="94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</row>
    <row r="942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</row>
    <row r="943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</row>
    <row r="944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</row>
    <row r="945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</row>
    <row r="946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</row>
    <row r="947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</row>
    <row r="948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</row>
    <row r="949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</row>
    <row r="950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</row>
    <row r="95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</row>
    <row r="952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</row>
    <row r="953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</row>
    <row r="954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</row>
    <row r="955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</row>
    <row r="956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</row>
    <row r="957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</row>
    <row r="958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</row>
    <row r="959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</row>
    <row r="960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</row>
    <row r="96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</row>
    <row r="962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</row>
    <row r="963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</row>
    <row r="964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</row>
    <row r="965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</row>
    <row r="966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</row>
    <row r="967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</row>
    <row r="968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</row>
    <row r="969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</row>
    <row r="970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</row>
    <row r="97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</row>
    <row r="972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</row>
    <row r="973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</row>
    <row r="974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</row>
    <row r="975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</row>
    <row r="976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</row>
    <row r="977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</row>
    <row r="978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</row>
    <row r="979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</row>
    <row r="980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</row>
    <row r="98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</row>
    <row r="982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</row>
    <row r="983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</row>
    <row r="984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</row>
    <row r="985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</row>
    <row r="986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</row>
    <row r="987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</row>
    <row r="988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</row>
    <row r="989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</row>
    <row r="990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6"/>
      <c r="T990" s="66"/>
    </row>
    <row r="99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6"/>
      <c r="T991" s="66"/>
    </row>
    <row r="992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66"/>
      <c r="P992" s="66"/>
      <c r="Q992" s="66"/>
      <c r="R992" s="66"/>
      <c r="S992" s="66"/>
      <c r="T992" s="66"/>
    </row>
    <row r="993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66"/>
      <c r="P993" s="66"/>
      <c r="Q993" s="66"/>
      <c r="R993" s="66"/>
      <c r="S993" s="66"/>
      <c r="T993" s="66"/>
    </row>
    <row r="994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66"/>
      <c r="P994" s="66"/>
      <c r="Q994" s="66"/>
      <c r="R994" s="66"/>
      <c r="S994" s="66"/>
      <c r="T994" s="66"/>
    </row>
    <row r="995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66"/>
      <c r="P995" s="66"/>
      <c r="Q995" s="66"/>
      <c r="R995" s="66"/>
      <c r="S995" s="66"/>
      <c r="T995" s="66"/>
    </row>
    <row r="996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66"/>
      <c r="P996" s="66"/>
      <c r="Q996" s="66"/>
      <c r="R996" s="66"/>
      <c r="S996" s="66"/>
      <c r="T996" s="66"/>
    </row>
    <row r="997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66"/>
      <c r="P997" s="66"/>
      <c r="Q997" s="66"/>
      <c r="R997" s="66"/>
      <c r="S997" s="66"/>
      <c r="T997" s="66"/>
    </row>
    <row r="998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  <c r="L998" s="66"/>
      <c r="M998" s="66"/>
      <c r="N998" s="66"/>
      <c r="O998" s="66"/>
      <c r="P998" s="66"/>
      <c r="Q998" s="66"/>
      <c r="R998" s="66"/>
      <c r="S998" s="66"/>
      <c r="T998" s="66"/>
    </row>
    <row r="999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  <c r="L999" s="66"/>
      <c r="M999" s="66"/>
      <c r="N999" s="66"/>
      <c r="O999" s="66"/>
      <c r="P999" s="66"/>
      <c r="Q999" s="66"/>
      <c r="R999" s="66"/>
      <c r="S999" s="66"/>
      <c r="T999" s="66"/>
    </row>
    <row r="1000">
      <c r="A1000" s="66"/>
      <c r="B1000" s="66"/>
      <c r="C1000" s="66"/>
      <c r="D1000" s="66"/>
      <c r="E1000" s="66"/>
      <c r="F1000" s="66"/>
      <c r="G1000" s="66"/>
      <c r="H1000" s="66"/>
      <c r="I1000" s="66"/>
      <c r="J1000" s="66"/>
      <c r="K1000" s="66"/>
      <c r="L1000" s="66"/>
      <c r="M1000" s="66"/>
      <c r="N1000" s="66"/>
      <c r="O1000" s="66"/>
      <c r="P1000" s="66"/>
      <c r="Q1000" s="66"/>
      <c r="R1000" s="66"/>
      <c r="S1000" s="66"/>
      <c r="T1000" s="66"/>
    </row>
    <row r="1001">
      <c r="A1001" s="66"/>
      <c r="B1001" s="66"/>
      <c r="C1001" s="66"/>
      <c r="D1001" s="66"/>
      <c r="E1001" s="66"/>
      <c r="F1001" s="66"/>
      <c r="G1001" s="66"/>
      <c r="H1001" s="66"/>
      <c r="I1001" s="66"/>
      <c r="J1001" s="66"/>
      <c r="K1001" s="66"/>
      <c r="L1001" s="66"/>
      <c r="M1001" s="66"/>
      <c r="N1001" s="66"/>
      <c r="O1001" s="66"/>
      <c r="P1001" s="66"/>
      <c r="Q1001" s="66"/>
      <c r="R1001" s="66"/>
      <c r="S1001" s="66"/>
      <c r="T1001" s="66"/>
    </row>
    <row r="1002">
      <c r="A1002" s="66"/>
      <c r="B1002" s="66"/>
      <c r="C1002" s="66"/>
      <c r="D1002" s="66"/>
      <c r="E1002" s="66"/>
      <c r="F1002" s="66"/>
      <c r="G1002" s="66"/>
      <c r="H1002" s="66"/>
      <c r="I1002" s="66"/>
      <c r="J1002" s="66"/>
      <c r="K1002" s="66"/>
      <c r="L1002" s="66"/>
      <c r="M1002" s="66"/>
      <c r="N1002" s="66"/>
      <c r="O1002" s="66"/>
      <c r="P1002" s="66"/>
      <c r="Q1002" s="66"/>
      <c r="R1002" s="66"/>
      <c r="S1002" s="66"/>
      <c r="T1002" s="66"/>
    </row>
    <row r="1003">
      <c r="A1003" s="66"/>
      <c r="B1003" s="66"/>
      <c r="C1003" s="66"/>
      <c r="D1003" s="66"/>
      <c r="E1003" s="66"/>
      <c r="F1003" s="66"/>
      <c r="G1003" s="66"/>
      <c r="H1003" s="66"/>
      <c r="I1003" s="66"/>
      <c r="J1003" s="66"/>
      <c r="K1003" s="66"/>
      <c r="L1003" s="66"/>
      <c r="M1003" s="66"/>
      <c r="N1003" s="66"/>
      <c r="O1003" s="66"/>
      <c r="P1003" s="66"/>
      <c r="Q1003" s="66"/>
      <c r="R1003" s="66"/>
      <c r="S1003" s="66"/>
      <c r="T1003" s="66"/>
    </row>
    <row r="1004">
      <c r="A1004" s="66"/>
      <c r="B1004" s="66"/>
      <c r="C1004" s="66"/>
      <c r="D1004" s="66"/>
      <c r="E1004" s="66"/>
      <c r="F1004" s="66"/>
      <c r="G1004" s="66"/>
      <c r="H1004" s="66"/>
      <c r="I1004" s="66"/>
      <c r="J1004" s="66"/>
      <c r="K1004" s="66"/>
      <c r="L1004" s="66"/>
      <c r="M1004" s="66"/>
      <c r="N1004" s="66"/>
      <c r="O1004" s="66"/>
      <c r="P1004" s="66"/>
      <c r="Q1004" s="66"/>
      <c r="R1004" s="66"/>
      <c r="S1004" s="66"/>
      <c r="T1004" s="66"/>
    </row>
    <row r="1005">
      <c r="A1005" s="66"/>
      <c r="B1005" s="66"/>
      <c r="C1005" s="66"/>
      <c r="D1005" s="66"/>
      <c r="E1005" s="66"/>
      <c r="F1005" s="66"/>
      <c r="G1005" s="66"/>
      <c r="H1005" s="66"/>
      <c r="I1005" s="66"/>
      <c r="J1005" s="66"/>
      <c r="K1005" s="66"/>
      <c r="L1005" s="66"/>
      <c r="M1005" s="66"/>
      <c r="N1005" s="66"/>
      <c r="O1005" s="66"/>
      <c r="P1005" s="66"/>
      <c r="Q1005" s="66"/>
      <c r="R1005" s="66"/>
      <c r="S1005" s="66"/>
      <c r="T1005" s="66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2025-01-08T23:22:48Z</dcterms:created>
  <dc:creator>Stephen Montgomery</dc:creator>
</cp:coreProperties>
</file>