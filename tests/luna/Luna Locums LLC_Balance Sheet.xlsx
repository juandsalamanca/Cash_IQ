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3" i="1" l="1"/>
</calcChain>
</file>

<file path=xl/sharedStrings.xml><?xml version="1.0" encoding="utf-8"?>
<sst xmlns="http://schemas.openxmlformats.org/spreadsheetml/2006/main" count="84" uniqueCount="84">
  <si>
    <t>Balance Sheet</t>
  </si>
  <si>
    <t>Luna Locums LLC</t>
  </si>
  <si>
    <t>As of February 26, 2026</t>
  </si>
  <si>
    <t>Assets</t>
  </si>
  <si>
    <t>Current Assets</t>
  </si>
  <si>
    <t>Bank Accounts</t>
  </si>
  <si>
    <t>10000 Chase Checking- 2116</t>
  </si>
  <si>
    <t>10010 Chase Checking- 9881</t>
  </si>
  <si>
    <t>10020 CIBC Checking- 9193</t>
  </si>
  <si>
    <t>10030 Wells Fargo Operating 1099</t>
  </si>
  <si>
    <t>10040 DACA 1099 LockBox</t>
  </si>
  <si>
    <t>10060 DACA W2 LockBox</t>
  </si>
  <si>
    <t>10070 Direct Pay to Access Capital</t>
  </si>
  <si>
    <t>Total for Bank Accounts</t>
  </si>
  <si>
    <t>Accounts Receivable</t>
  </si>
  <si>
    <t>12000 Accounts Receivable</t>
  </si>
  <si>
    <t>12010 Accrued Accounts Receivable</t>
  </si>
  <si>
    <t>Total for Accounts Receivable</t>
  </si>
  <si>
    <t>Other Current Assets</t>
  </si>
  <si>
    <t>12050 Reimbursements-Luna Clinicians LLC</t>
  </si>
  <si>
    <t>12060 Reimbursements-Luna Locums LLC</t>
  </si>
  <si>
    <t>12070 Reimbursements-Owner</t>
  </si>
  <si>
    <t>13000 Prepaid Expenses</t>
  </si>
  <si>
    <t>13050 Prepaid Insurance-Gen Liability</t>
  </si>
  <si>
    <t>13070 Prepaid- General</t>
  </si>
  <si>
    <t>13080 Prepaid Rent</t>
  </si>
  <si>
    <t>Total for 13000 Prepaid Expenses</t>
  </si>
  <si>
    <t>Undeposited Funds</t>
  </si>
  <si>
    <t>Total for Other Current Assets</t>
  </si>
  <si>
    <t>Total for Current Assets</t>
  </si>
  <si>
    <t>Fixed Assets</t>
  </si>
  <si>
    <t>14000 Property Plant and Equipment</t>
  </si>
  <si>
    <t>14500 Computer &amp; Software</t>
  </si>
  <si>
    <t>15000 Computer Equipment</t>
  </si>
  <si>
    <t>Total for 14500 Computer &amp; Software</t>
  </si>
  <si>
    <t>Total for 14000 Property Plant and Equipment</t>
  </si>
  <si>
    <t>Total for Fixed Assets</t>
  </si>
  <si>
    <t>Other Assets</t>
  </si>
  <si>
    <t>17050 Right of Use Asset - Lease</t>
  </si>
  <si>
    <t>18000 Security Deposits</t>
  </si>
  <si>
    <t>Intercompany Due to/from</t>
  </si>
  <si>
    <t>19100 Intercompany Luna Clinicians LLC</t>
  </si>
  <si>
    <t>19200 Intercompany Luna Locums LLC</t>
  </si>
  <si>
    <t>Total for Intercompany Due to/from</t>
  </si>
  <si>
    <t>Total for Other Assets</t>
  </si>
  <si>
    <t>Total for Assets</t>
  </si>
  <si>
    <t>Liabilities and Equity</t>
  </si>
  <si>
    <t>Liabilities</t>
  </si>
  <si>
    <t>Current Liabilities</t>
  </si>
  <si>
    <t>Accounts Payable</t>
  </si>
  <si>
    <t>20000 Accounts Payable</t>
  </si>
  <si>
    <t>20010 Accrued Accounts Payable</t>
  </si>
  <si>
    <t>Total for 20000 Accounts Payable</t>
  </si>
  <si>
    <t>Total for Accounts Payable</t>
  </si>
  <si>
    <t>Credit Cards</t>
  </si>
  <si>
    <t>20100 Chase Credit Card- 5007</t>
  </si>
  <si>
    <t>20110 Chase Credit Card- 9507</t>
  </si>
  <si>
    <t>20120 Capital One- 4913</t>
  </si>
  <si>
    <t>20130 Chase Credit Card- 1936</t>
  </si>
  <si>
    <t>Total for Credit Cards</t>
  </si>
  <si>
    <t>Other Current Liabilities</t>
  </si>
  <si>
    <t>20550 Accrued Expenses</t>
  </si>
  <si>
    <t>20600 Accrued Payroll</t>
  </si>
  <si>
    <t>22600 Access Capital</t>
  </si>
  <si>
    <t>Total for Other Current Liabilities</t>
  </si>
  <si>
    <t>Total for Current Liabilities</t>
  </si>
  <si>
    <t>Long-term Liabilities</t>
  </si>
  <si>
    <t>23000 Right of Use Liability - Lease</t>
  </si>
  <si>
    <t>Loan Payable</t>
  </si>
  <si>
    <t>24100 Loan Payable - Edward Rich</t>
  </si>
  <si>
    <t>24200 Loan Payable - Richard Bybee</t>
  </si>
  <si>
    <t>24300 Loan Payable - Claire Needham</t>
  </si>
  <si>
    <t>Total for Loan Payable</t>
  </si>
  <si>
    <t>Total for Long-term Liabilities</t>
  </si>
  <si>
    <t>Total for Liabilities</t>
  </si>
  <si>
    <t>Equity</t>
  </si>
  <si>
    <t>30002 Distributions</t>
  </si>
  <si>
    <t>39000 Retained Earnings</t>
  </si>
  <si>
    <t>Net Income</t>
  </si>
  <si>
    <t>Total for Equity</t>
  </si>
  <si>
    <t>Total for Liabilities and Equity</t>
  </si>
  <si>
    <t>Distribution account</t>
  </si>
  <si>
    <t>Total</t>
  </si>
  <si>
    <t>Accrual Basis Wednesday, March 04, 2026 01:38 PM GMT-07:00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</si>
</sst>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8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3" fillId="0" borderId="0" xfId="0" applyFont="1"/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4" fillId="0" borderId="0" xfId="0" applyFont="1" applyAlignment="1">
      <alignment horizontal="left" indent="3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indent="5"/>
    </xf>
    <xf numFmtId="0" fontId="3" fillId="0" borderId="0" xfId="0" applyFont="1" applyAlignment="1">
      <alignment horizontal="left" indent="5"/>
    </xf>
    <xf numFmtId="0" fontId="2" fillId="0" borderId="0" xfId="0" applyFont="1" applyAlignment="1">
      <alignment horizontal="left" indent="4"/>
    </xf>
    <xf numFmtId="0" fontId="4" fillId="0" borderId="0" xfId="0" applyFont="1" applyAlignment="1">
      <alignment horizontal="left" indent="4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4"/>
    </xf>
    <xf numFmtId="0" fontId="4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5"/>
    </xf>
    <xf numFmtId="0" fontId="4" fillId="0" borderId="0" xfId="0" applyFont="1" applyAlignment="1">
      <alignment horizontal="left" wrapText="1" indent="4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87"/>
  <sheetViews>
    <sheetView tabSelected="1" workbookViewId="0" topLeftCell="A1"/>
  </sheetViews>
  <sheetFormatPr defaultColWidth="11.255" defaultRowHeight="16" outlineLevelRow="5"/>
  <cols>
    <col min="1" max="1" width="38.5" style="51" customWidth="1"/>
    <col min="2" max="2" width="17" style="51" customWidth="1"/>
  </cols>
  <sheetData>
    <row r="1" spans="1:1" ht="16">
      <c r="A1" s="36" t="s">
        <v>0</v>
      </c>
    </row>
    <row r="2" spans="1:1" ht="16">
      <c r="A2" s="37" t="s">
        <v>1</v>
      </c>
    </row>
    <row r="3" spans="1:1" ht="16">
      <c r="A3" s="38" t="s">
        <v>2</v>
      </c>
    </row>
    <row r="5" spans="1:2" ht="16">
      <c r="A5" s="53" t="s">
        <v>81</v>
      </c>
      <c r="B5" s="53" t="s">
        <v>82</v>
      </c>
    </row>
    <row r="6" spans="1:1" ht="16">
      <c r="A6" s="40" t="s">
        <v>3</v>
      </c>
    </row>
    <row r="7" spans="1:1" ht="16" outlineLevel="1">
      <c r="A7" s="41" t="s">
        <v>4</v>
      </c>
    </row>
    <row r="8" spans="1:1" ht="16" outlineLevel="2">
      <c r="A8" s="42" t="s">
        <v>5</v>
      </c>
    </row>
    <row r="9" spans="1:2" ht="16" outlineLevel="3">
      <c r="A9" s="43" t="s">
        <v>6</v>
      </c>
      <c r="B9" s="54">
        <v>279596.27</v>
      </c>
    </row>
    <row r="10" spans="1:2" ht="16" outlineLevel="3">
      <c r="A10" s="43" t="s">
        <v>7</v>
      </c>
      <c r="B10" s="54">
        <v>0</v>
      </c>
    </row>
    <row r="11" spans="1:2" ht="16" outlineLevel="3">
      <c r="A11" s="43" t="s">
        <v>8</v>
      </c>
      <c r="B11" s="54">
        <v>5000.0</v>
      </c>
    </row>
    <row r="12" spans="1:2" ht="16" outlineLevel="3">
      <c r="A12" s="43" t="s">
        <v>9</v>
      </c>
      <c r="B12" s="54">
        <v>4000.0</v>
      </c>
    </row>
    <row r="13" spans="1:2" ht="16" outlineLevel="3">
      <c r="A13" s="43" t="s">
        <v>10</v>
      </c>
      <c r="B13" s="54">
        <v>0</v>
      </c>
    </row>
    <row r="14" spans="1:2" ht="16" outlineLevel="3">
      <c r="A14" s="43" t="s">
        <v>11</v>
      </c>
      <c r="B14" s="54">
        <v>0</v>
      </c>
    </row>
    <row r="15" spans="1:2" ht="16" outlineLevel="3">
      <c r="A15" s="43" t="s">
        <v>12</v>
      </c>
      <c r="B15" s="54">
        <v>0</v>
      </c>
    </row>
    <row r="16" spans="1:2" ht="16" outlineLevel="2">
      <c r="A16" s="44" t="s">
        <v>13</v>
      </c>
      <c r="B16" s="55">
        <f>B8+B9+B10+B11+B12+B13+B14+B15</f>
        <v>288596.27</v>
      </c>
    </row>
    <row r="17" spans="1:1" ht="16" outlineLevel="2">
      <c r="A17" s="42" t="s">
        <v>14</v>
      </c>
    </row>
    <row r="18" spans="1:2" ht="16" outlineLevel="3">
      <c r="A18" s="43" t="s">
        <v>15</v>
      </c>
      <c r="B18" s="54">
        <v>1126847.44</v>
      </c>
    </row>
    <row r="19" spans="1:2" ht="16" outlineLevel="3">
      <c r="A19" s="43" t="s">
        <v>16</v>
      </c>
      <c r="B19" s="54">
        <v>0</v>
      </c>
    </row>
    <row r="20" spans="1:2" ht="16" outlineLevel="2">
      <c r="A20" s="44" t="s">
        <v>17</v>
      </c>
      <c r="B20" s="55">
        <f>B17+B18+B19</f>
        <v>1126847.44</v>
      </c>
    </row>
    <row r="21" spans="1:1" ht="16" outlineLevel="2">
      <c r="A21" s="42" t="s">
        <v>18</v>
      </c>
    </row>
    <row r="22" spans="1:2" ht="16" outlineLevel="3">
      <c r="A22" s="43" t="s">
        <v>19</v>
      </c>
      <c r="B22" s="54">
        <v>-35100.36</v>
      </c>
    </row>
    <row r="23" spans="1:2" ht="16" outlineLevel="3">
      <c r="A23" s="43" t="s">
        <v>20</v>
      </c>
      <c r="B23" s="54">
        <v>-171689.8</v>
      </c>
    </row>
    <row r="24" spans="1:2" ht="16" outlineLevel="3">
      <c r="A24" s="43" t="s">
        <v>21</v>
      </c>
      <c r="B24" s="54">
        <v>0</v>
      </c>
    </row>
    <row r="25" spans="1:2" ht="16" outlineLevel="3">
      <c r="A25" s="43" t="s">
        <v>22</v>
      </c>
      <c r="B25" s="56"/>
    </row>
    <row r="26" spans="1:2" ht="16" outlineLevel="4">
      <c r="A26" s="45" t="s">
        <v>23</v>
      </c>
      <c r="B26" s="54">
        <v>6002.32</v>
      </c>
    </row>
    <row r="27" spans="1:2" ht="16" outlineLevel="4">
      <c r="A27" s="45" t="s">
        <v>24</v>
      </c>
      <c r="B27" s="54">
        <v>16082.15</v>
      </c>
    </row>
    <row r="28" spans="1:2" ht="16" outlineLevel="4">
      <c r="A28" s="45" t="s">
        <v>25</v>
      </c>
      <c r="B28" s="54">
        <v>0</v>
      </c>
    </row>
    <row r="29" spans="1:2" ht="16" outlineLevel="3">
      <c r="A29" s="46" t="s">
        <v>26</v>
      </c>
      <c r="B29" s="55">
        <f>B25+B26+B27+B28</f>
        <v>22084.47</v>
      </c>
    </row>
    <row r="30" spans="1:2" ht="16" outlineLevel="3">
      <c r="A30" s="43" t="s">
        <v>27</v>
      </c>
      <c r="B30" s="54">
        <v>-238.0</v>
      </c>
    </row>
    <row r="31" spans="1:2" ht="16" outlineLevel="2">
      <c r="A31" s="44" t="s">
        <v>28</v>
      </c>
      <c r="B31" s="55">
        <f>B21+B22+B23+B24+B29+B30</f>
        <v>-184943.68999999997</v>
      </c>
    </row>
    <row r="32" spans="1:2" ht="16" outlineLevel="1">
      <c r="A32" s="47" t="s">
        <v>29</v>
      </c>
      <c r="B32" s="55">
        <f>B7+B16+B20+B31</f>
        <v>1230500.02</v>
      </c>
    </row>
    <row r="33" spans="1:1" ht="16" outlineLevel="1">
      <c r="A33" s="41" t="s">
        <v>30</v>
      </c>
    </row>
    <row r="34" spans="1:2" ht="16" outlineLevel="2">
      <c r="A34" s="42" t="s">
        <v>31</v>
      </c>
      <c r="B34" s="56"/>
    </row>
    <row r="35" spans="1:2" ht="16" outlineLevel="3">
      <c r="A35" s="43" t="s">
        <v>32</v>
      </c>
      <c r="B35" s="56"/>
    </row>
    <row r="36" spans="1:2" ht="16" outlineLevel="4">
      <c r="A36" s="45" t="s">
        <v>33</v>
      </c>
      <c r="B36" s="54">
        <v>6158.84</v>
      </c>
    </row>
    <row r="37" spans="1:2" ht="16" outlineLevel="3">
      <c r="A37" s="46" t="s">
        <v>34</v>
      </c>
      <c r="B37" s="55">
        <f>B35+B36</f>
        <v>6158.84</v>
      </c>
    </row>
    <row r="38" spans="1:2" ht="16" outlineLevel="2">
      <c r="A38" s="44" t="s">
        <v>35</v>
      </c>
      <c r="B38" s="55">
        <f>B34+B37</f>
        <v>6158.84</v>
      </c>
    </row>
    <row r="39" spans="1:2" ht="16" outlineLevel="1">
      <c r="A39" s="47" t="s">
        <v>36</v>
      </c>
      <c r="B39" s="55">
        <f>B33+B38</f>
        <v>6158.84</v>
      </c>
    </row>
    <row r="40" spans="1:1" ht="16" outlineLevel="1">
      <c r="A40" s="41" t="s">
        <v>37</v>
      </c>
    </row>
    <row r="41" spans="1:2" ht="16" outlineLevel="2">
      <c r="A41" s="42" t="s">
        <v>38</v>
      </c>
      <c r="B41" s="54">
        <v>74272.2</v>
      </c>
    </row>
    <row r="42" spans="1:2" ht="16" outlineLevel="2">
      <c r="A42" s="42" t="s">
        <v>39</v>
      </c>
      <c r="B42" s="54">
        <v>3403.08</v>
      </c>
    </row>
    <row r="43" spans="1:2" ht="16" outlineLevel="2">
      <c r="A43" s="42" t="s">
        <v>40</v>
      </c>
      <c r="B43" s="56"/>
    </row>
    <row r="44" spans="1:2" ht="16" outlineLevel="3">
      <c r="A44" s="43" t="s">
        <v>41</v>
      </c>
      <c r="B44" s="54">
        <v>-878891.03</v>
      </c>
    </row>
    <row r="45" spans="1:2" ht="16" outlineLevel="3">
      <c r="A45" s="43" t="s">
        <v>42</v>
      </c>
      <c r="B45" s="54">
        <v>878891.03</v>
      </c>
    </row>
    <row r="46" spans="1:2" ht="16" outlineLevel="2">
      <c r="A46" s="44" t="s">
        <v>43</v>
      </c>
      <c r="B46" s="55">
        <f>B43+B44+B45</f>
        <v>0.0</v>
      </c>
    </row>
    <row r="47" spans="1:2" ht="16" outlineLevel="1">
      <c r="A47" s="47" t="s">
        <v>44</v>
      </c>
      <c r="B47" s="55">
        <f>B40+B41+B42+B46</f>
        <v>77675.28</v>
      </c>
    </row>
    <row r="48" spans="1:2" ht="16">
      <c r="A48" s="48" t="s">
        <v>45</v>
      </c>
      <c r="B48" s="55">
        <f>B32+B39+B47</f>
        <v>1314334.1400000001</v>
      </c>
    </row>
    <row r="49" spans="1:1" ht="16">
      <c r="A49" s="40" t="s">
        <v>46</v>
      </c>
    </row>
    <row r="50" spans="1:1" ht="16" outlineLevel="1">
      <c r="A50" s="41" t="s">
        <v>47</v>
      </c>
    </row>
    <row r="51" spans="1:1" ht="16" outlineLevel="2">
      <c r="A51" s="42" t="s">
        <v>48</v>
      </c>
    </row>
    <row r="52" spans="1:1" ht="16" outlineLevel="3">
      <c r="A52" s="43" t="s">
        <v>49</v>
      </c>
    </row>
    <row r="53" spans="1:2" ht="16" outlineLevel="4">
      <c r="A53" s="45" t="s">
        <v>50</v>
      </c>
      <c r="B53" s="56"/>
    </row>
    <row r="54" spans="1:2" ht="16" outlineLevel="5">
      <c r="A54" s="49" t="s">
        <v>51</v>
      </c>
      <c r="B54" s="54">
        <v>2000.0</v>
      </c>
    </row>
    <row r="55" spans="1:2" ht="16" outlineLevel="4">
      <c r="A55" s="50" t="s">
        <v>52</v>
      </c>
      <c r="B55" s="55">
        <f>B53+B54</f>
        <v>2000.0</v>
      </c>
    </row>
    <row r="56" spans="1:2" ht="16" outlineLevel="3">
      <c r="A56" s="46" t="s">
        <v>53</v>
      </c>
      <c r="B56" s="55">
        <f>B52+B55</f>
        <v>2000.0</v>
      </c>
    </row>
    <row r="57" spans="1:1" ht="16" outlineLevel="3">
      <c r="A57" s="43" t="s">
        <v>54</v>
      </c>
    </row>
    <row r="58" spans="1:2" ht="16" outlineLevel="4">
      <c r="A58" s="45" t="s">
        <v>55</v>
      </c>
      <c r="B58" s="54">
        <v>14322.66</v>
      </c>
    </row>
    <row r="59" spans="1:2" ht="16" outlineLevel="4">
      <c r="A59" s="45" t="s">
        <v>56</v>
      </c>
      <c r="B59" s="54">
        <v>10243.66</v>
      </c>
    </row>
    <row r="60" spans="1:2" ht="16" outlineLevel="4">
      <c r="A60" s="45" t="s">
        <v>57</v>
      </c>
      <c r="B60" s="54">
        <v>0</v>
      </c>
    </row>
    <row r="61" spans="1:2" ht="16" outlineLevel="4">
      <c r="A61" s="45" t="s">
        <v>58</v>
      </c>
      <c r="B61" s="54">
        <v>-904.84</v>
      </c>
    </row>
    <row r="62" spans="1:2" ht="16" outlineLevel="3">
      <c r="A62" s="46" t="s">
        <v>59</v>
      </c>
      <c r="B62" s="55">
        <f>B57+B58+B59+B60+B61</f>
        <v>23661.48</v>
      </c>
    </row>
    <row r="63" spans="1:1" ht="16" outlineLevel="3">
      <c r="A63" s="43" t="s">
        <v>60</v>
      </c>
    </row>
    <row r="64" spans="1:2" ht="16" outlineLevel="4">
      <c r="A64" s="45" t="s">
        <v>61</v>
      </c>
      <c r="B64" s="54">
        <v>0</v>
      </c>
    </row>
    <row r="65" spans="1:2" ht="16" outlineLevel="4">
      <c r="A65" s="45" t="s">
        <v>62</v>
      </c>
      <c r="B65" s="54">
        <v>0</v>
      </c>
    </row>
    <row r="66" spans="1:2" ht="16" outlineLevel="4">
      <c r="A66" s="45" t="s">
        <v>63</v>
      </c>
      <c r="B66" s="54">
        <v>829995.05</v>
      </c>
    </row>
    <row r="67" spans="1:2" ht="16" outlineLevel="3">
      <c r="A67" s="46" t="s">
        <v>64</v>
      </c>
      <c r="B67" s="55">
        <f>B63+B64+B65+B66</f>
        <v>829995.05</v>
      </c>
    </row>
    <row r="68" spans="1:2" ht="16" outlineLevel="2">
      <c r="A68" s="44" t="s">
        <v>65</v>
      </c>
      <c r="B68" s="55">
        <f>B51+B56+B62+B67</f>
        <v>855656.53</v>
      </c>
    </row>
    <row r="69" spans="1:1" ht="16" outlineLevel="2">
      <c r="A69" s="42" t="s">
        <v>66</v>
      </c>
    </row>
    <row r="70" spans="1:2" ht="16" outlineLevel="3">
      <c r="A70" s="43" t="s">
        <v>67</v>
      </c>
      <c r="B70" s="54">
        <v>76416.53</v>
      </c>
    </row>
    <row r="71" spans="1:2" ht="16" outlineLevel="3">
      <c r="A71" s="43" t="s">
        <v>68</v>
      </c>
      <c r="B71" s="56"/>
    </row>
    <row r="72" spans="1:2" ht="16" outlineLevel="4">
      <c r="A72" s="45" t="s">
        <v>69</v>
      </c>
      <c r="B72" s="54">
        <v>50000.0</v>
      </c>
    </row>
    <row r="73" spans="1:2" ht="16" outlineLevel="4">
      <c r="A73" s="45" t="s">
        <v>70</v>
      </c>
      <c r="B73" s="54">
        <v>50000.0</v>
      </c>
    </row>
    <row r="74" spans="1:2" ht="16" outlineLevel="4">
      <c r="A74" s="45" t="s">
        <v>71</v>
      </c>
      <c r="B74" s="54">
        <v>25000.0</v>
      </c>
    </row>
    <row r="75" spans="1:2" ht="16" outlineLevel="3">
      <c r="A75" s="46" t="s">
        <v>72</v>
      </c>
      <c r="B75" s="55">
        <f>B71+B72+B73+B74</f>
        <v>125000.0</v>
      </c>
    </row>
    <row r="76" spans="1:2" ht="16" outlineLevel="2">
      <c r="A76" s="44" t="s">
        <v>73</v>
      </c>
      <c r="B76" s="55">
        <f>B69+B70+B75</f>
        <v>201416.53</v>
      </c>
    </row>
    <row r="77" spans="1:2" ht="16" outlineLevel="1">
      <c r="A77" s="47" t="s">
        <v>74</v>
      </c>
      <c r="B77" s="55">
        <f>B50+B68+B76</f>
        <v>1057073.06</v>
      </c>
    </row>
    <row r="78" spans="1:1" ht="16" outlineLevel="1">
      <c r="A78" s="41" t="s">
        <v>75</v>
      </c>
    </row>
    <row r="79" spans="1:2" ht="16" outlineLevel="2">
      <c r="A79" s="42" t="s">
        <v>76</v>
      </c>
      <c r="B79" s="54">
        <v>-113000.0</v>
      </c>
    </row>
    <row r="80" spans="1:2" ht="16" outlineLevel="2">
      <c r="A80" s="42" t="s">
        <v>77</v>
      </c>
      <c r="B80" s="54">
        <v>711953.6600000003</v>
      </c>
    </row>
    <row r="81" spans="1:2" ht="16" outlineLevel="2">
      <c r="A81" s="42" t="s">
        <v>78</v>
      </c>
      <c r="B81" s="54">
        <v>-341692.5800000001</v>
      </c>
    </row>
    <row r="82" spans="1:2" ht="16" outlineLevel="1">
      <c r="A82" s="47" t="s">
        <v>79</v>
      </c>
      <c r="B82" s="55">
        <f>B78+B79+B80+B81</f>
        <v>257261.0800000002</v>
      </c>
    </row>
    <row r="83" spans="1:2" ht="16">
      <c r="A83" s="48" t="s">
        <v>80</v>
      </c>
      <c r="B83" s="55">
        <f>B77+B82</f>
        <v>1314334.1400000001</v>
      </c>
    </row>
    <row r="87" spans="1:1" ht="16">
      <c r="A87" s="57" t="s">
        <v>83</v>
      </c>
    </row>
  </sheetData>
  <mergeCells count="4">
    <mergeCell ref="A1:B1"/>
    <mergeCell ref="A2:B2"/>
    <mergeCell ref="A3:B3"/>
    <mergeCell ref="A87:B8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